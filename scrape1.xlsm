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raws" sheetId="1" r:id="rId1"/>
  </sheets>
  <calcPr calcId="152511"/>
</workbook>
</file>

<file path=xl/calcChain.xml><?xml version="1.0" encoding="utf-8"?>
<calcChain xmlns="http://schemas.openxmlformats.org/spreadsheetml/2006/main">
  <c r="K1003" i="1" l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001" i="1"/>
  <c r="K1002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E1089" i="1"/>
  <c r="E1090" i="1"/>
  <c r="E1091" i="1"/>
  <c r="E1092" i="1"/>
  <c r="E1093" i="1"/>
  <c r="E1094" i="1"/>
  <c r="E1095" i="1"/>
  <c r="E1096" i="1"/>
  <c r="E1097" i="1"/>
  <c r="E1098" i="1"/>
  <c r="E1099" i="1"/>
  <c r="E1088" i="1"/>
  <c r="B1088" i="1" l="1"/>
  <c r="B1096" i="1"/>
  <c r="B1092" i="1"/>
  <c r="B1097" i="1"/>
  <c r="B1093" i="1"/>
  <c r="B1089" i="1"/>
  <c r="B1095" i="1"/>
  <c r="B1091" i="1"/>
  <c r="B1098" i="1"/>
  <c r="B1094" i="1"/>
  <c r="B1090" i="1"/>
  <c r="B1099" i="1"/>
  <c r="J1098" i="1"/>
  <c r="J1094" i="1"/>
  <c r="J1099" i="1"/>
  <c r="J1095" i="1"/>
  <c r="J1091" i="1"/>
  <c r="J1097" i="1"/>
  <c r="J1093" i="1"/>
  <c r="J1089" i="1"/>
  <c r="J1090" i="1"/>
  <c r="J1096" i="1"/>
  <c r="J1092" i="1"/>
  <c r="J1088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1087" i="1" l="1"/>
  <c r="G1087" i="1"/>
  <c r="E1087" i="1"/>
  <c r="I1086" i="1"/>
  <c r="G1086" i="1"/>
  <c r="E1086" i="1"/>
  <c r="B1087" i="1" l="1"/>
  <c r="B1086" i="1"/>
  <c r="J1086" i="1"/>
  <c r="J1087" i="1"/>
  <c r="I1085" i="1"/>
  <c r="G1085" i="1"/>
  <c r="E1085" i="1"/>
  <c r="I1084" i="1"/>
  <c r="G1084" i="1"/>
  <c r="E1084" i="1"/>
  <c r="I1083" i="1"/>
  <c r="G1083" i="1"/>
  <c r="E1083" i="1"/>
  <c r="I1082" i="1"/>
  <c r="G1082" i="1"/>
  <c r="E1082" i="1"/>
  <c r="I1081" i="1"/>
  <c r="G1081" i="1"/>
  <c r="E1081" i="1"/>
  <c r="I1080" i="1"/>
  <c r="G1080" i="1"/>
  <c r="E1080" i="1"/>
  <c r="I1079" i="1"/>
  <c r="G1079" i="1"/>
  <c r="E1079" i="1"/>
  <c r="I1078" i="1"/>
  <c r="G1078" i="1"/>
  <c r="E1078" i="1"/>
  <c r="I1077" i="1"/>
  <c r="G1077" i="1"/>
  <c r="E1077" i="1"/>
  <c r="I1076" i="1"/>
  <c r="G1076" i="1"/>
  <c r="E1076" i="1"/>
  <c r="I1075" i="1"/>
  <c r="G1075" i="1"/>
  <c r="E1075" i="1"/>
  <c r="I1074" i="1"/>
  <c r="G1074" i="1"/>
  <c r="E1074" i="1"/>
  <c r="I1073" i="1"/>
  <c r="G1073" i="1"/>
  <c r="E1073" i="1"/>
  <c r="I1072" i="1"/>
  <c r="G1072" i="1"/>
  <c r="E1072" i="1"/>
  <c r="I1071" i="1"/>
  <c r="G1071" i="1"/>
  <c r="E1071" i="1"/>
  <c r="I1070" i="1"/>
  <c r="G1070" i="1"/>
  <c r="E1070" i="1"/>
  <c r="I1069" i="1"/>
  <c r="G1069" i="1"/>
  <c r="E1069" i="1"/>
  <c r="I1068" i="1"/>
  <c r="G1068" i="1"/>
  <c r="E1068" i="1"/>
  <c r="I1067" i="1"/>
  <c r="G1067" i="1"/>
  <c r="E1067" i="1"/>
  <c r="I1066" i="1"/>
  <c r="G1066" i="1"/>
  <c r="E1066" i="1"/>
  <c r="I1065" i="1"/>
  <c r="G1065" i="1"/>
  <c r="E1065" i="1"/>
  <c r="I1064" i="1"/>
  <c r="G1064" i="1"/>
  <c r="E1064" i="1"/>
  <c r="I1063" i="1"/>
  <c r="G1063" i="1"/>
  <c r="E1063" i="1"/>
  <c r="I1062" i="1"/>
  <c r="G1062" i="1"/>
  <c r="E1062" i="1"/>
  <c r="I1061" i="1"/>
  <c r="G1061" i="1"/>
  <c r="E1061" i="1"/>
  <c r="I1060" i="1"/>
  <c r="G1060" i="1"/>
  <c r="E1060" i="1"/>
  <c r="I1059" i="1"/>
  <c r="G1059" i="1"/>
  <c r="E1059" i="1"/>
  <c r="I1058" i="1"/>
  <c r="G1058" i="1"/>
  <c r="E1058" i="1"/>
  <c r="I1057" i="1"/>
  <c r="G1057" i="1"/>
  <c r="E1057" i="1"/>
  <c r="I1056" i="1"/>
  <c r="G1056" i="1"/>
  <c r="E1056" i="1"/>
  <c r="I1055" i="1"/>
  <c r="G1055" i="1"/>
  <c r="E1055" i="1"/>
  <c r="I1054" i="1"/>
  <c r="G1054" i="1"/>
  <c r="E1054" i="1"/>
  <c r="I1053" i="1"/>
  <c r="G1053" i="1"/>
  <c r="E1053" i="1"/>
  <c r="I1052" i="1"/>
  <c r="G1052" i="1"/>
  <c r="E1052" i="1"/>
  <c r="I1051" i="1"/>
  <c r="G1051" i="1"/>
  <c r="E1051" i="1"/>
  <c r="I1050" i="1"/>
  <c r="G1050" i="1"/>
  <c r="E1050" i="1"/>
  <c r="I1049" i="1"/>
  <c r="G1049" i="1"/>
  <c r="E1049" i="1"/>
  <c r="I1048" i="1"/>
  <c r="G1048" i="1"/>
  <c r="E1048" i="1"/>
  <c r="I1047" i="1"/>
  <c r="G1047" i="1"/>
  <c r="E1047" i="1"/>
  <c r="I1046" i="1"/>
  <c r="G1046" i="1"/>
  <c r="E1046" i="1"/>
  <c r="I1045" i="1"/>
  <c r="G1045" i="1"/>
  <c r="E1045" i="1"/>
  <c r="I1044" i="1"/>
  <c r="G1044" i="1"/>
  <c r="E1044" i="1"/>
  <c r="I1043" i="1"/>
  <c r="G1043" i="1"/>
  <c r="E1043" i="1"/>
  <c r="I1042" i="1"/>
  <c r="G1042" i="1"/>
  <c r="E1042" i="1"/>
  <c r="I1041" i="1"/>
  <c r="G1041" i="1"/>
  <c r="E1041" i="1"/>
  <c r="I1040" i="1"/>
  <c r="G1040" i="1"/>
  <c r="E1040" i="1"/>
  <c r="I1039" i="1"/>
  <c r="G1039" i="1"/>
  <c r="E1039" i="1"/>
  <c r="I1038" i="1"/>
  <c r="G1038" i="1"/>
  <c r="E1038" i="1"/>
  <c r="I1037" i="1"/>
  <c r="G1037" i="1"/>
  <c r="E1037" i="1"/>
  <c r="I1036" i="1"/>
  <c r="G1036" i="1"/>
  <c r="E1036" i="1"/>
  <c r="I1035" i="1"/>
  <c r="G1035" i="1"/>
  <c r="E1035" i="1"/>
  <c r="I1034" i="1"/>
  <c r="G1034" i="1"/>
  <c r="E1034" i="1"/>
  <c r="I1033" i="1"/>
  <c r="G1033" i="1"/>
  <c r="E1033" i="1"/>
  <c r="I1032" i="1"/>
  <c r="G1032" i="1"/>
  <c r="E1032" i="1"/>
  <c r="I1031" i="1"/>
  <c r="G1031" i="1"/>
  <c r="E1031" i="1"/>
  <c r="I1030" i="1"/>
  <c r="G1030" i="1"/>
  <c r="E1030" i="1"/>
  <c r="I1029" i="1"/>
  <c r="G1029" i="1"/>
  <c r="E1029" i="1"/>
  <c r="I1028" i="1"/>
  <c r="G1028" i="1"/>
  <c r="E1028" i="1"/>
  <c r="I1027" i="1"/>
  <c r="G1027" i="1"/>
  <c r="E1027" i="1"/>
  <c r="I1026" i="1"/>
  <c r="G1026" i="1"/>
  <c r="E1026" i="1"/>
  <c r="I1025" i="1"/>
  <c r="G1025" i="1"/>
  <c r="E1025" i="1"/>
  <c r="I1024" i="1"/>
  <c r="G1024" i="1"/>
  <c r="E1024" i="1"/>
  <c r="I1023" i="1"/>
  <c r="G1023" i="1"/>
  <c r="E1023" i="1"/>
  <c r="I1022" i="1"/>
  <c r="G1022" i="1"/>
  <c r="E1022" i="1"/>
  <c r="I1021" i="1"/>
  <c r="G1021" i="1"/>
  <c r="E1021" i="1"/>
  <c r="I1020" i="1"/>
  <c r="G1020" i="1"/>
  <c r="E1020" i="1"/>
  <c r="I1019" i="1"/>
  <c r="G1019" i="1"/>
  <c r="E1019" i="1"/>
  <c r="I1018" i="1"/>
  <c r="G1018" i="1"/>
  <c r="E1018" i="1"/>
  <c r="I1017" i="1"/>
  <c r="G1017" i="1"/>
  <c r="E1017" i="1"/>
  <c r="I1016" i="1"/>
  <c r="G1016" i="1"/>
  <c r="E1016" i="1"/>
  <c r="I1015" i="1"/>
  <c r="G1015" i="1"/>
  <c r="E1015" i="1"/>
  <c r="I1014" i="1"/>
  <c r="G1014" i="1"/>
  <c r="E1014" i="1"/>
  <c r="I1013" i="1"/>
  <c r="G1013" i="1"/>
  <c r="E1013" i="1"/>
  <c r="I1012" i="1"/>
  <c r="G1012" i="1"/>
  <c r="E1012" i="1"/>
  <c r="I1011" i="1"/>
  <c r="G1011" i="1"/>
  <c r="E1011" i="1"/>
  <c r="I1010" i="1"/>
  <c r="G1010" i="1"/>
  <c r="E1010" i="1"/>
  <c r="I1009" i="1"/>
  <c r="G1009" i="1"/>
  <c r="E1009" i="1"/>
  <c r="I1008" i="1"/>
  <c r="G1008" i="1"/>
  <c r="E1008" i="1"/>
  <c r="I1007" i="1"/>
  <c r="G1007" i="1"/>
  <c r="E1007" i="1"/>
  <c r="I1006" i="1"/>
  <c r="G1006" i="1"/>
  <c r="E1006" i="1"/>
  <c r="I1005" i="1"/>
  <c r="G1005" i="1"/>
  <c r="E1005" i="1"/>
  <c r="I1004" i="1"/>
  <c r="G1004" i="1"/>
  <c r="E1004" i="1"/>
  <c r="I1003" i="1"/>
  <c r="G1003" i="1"/>
  <c r="E1003" i="1"/>
  <c r="I1002" i="1"/>
  <c r="G1002" i="1"/>
  <c r="E1002" i="1"/>
  <c r="I1001" i="1"/>
  <c r="G1001" i="1"/>
  <c r="E1001" i="1"/>
  <c r="I1000" i="1"/>
  <c r="G1000" i="1"/>
  <c r="E1000" i="1"/>
  <c r="I999" i="1"/>
  <c r="G999" i="1"/>
  <c r="E999" i="1"/>
  <c r="I998" i="1"/>
  <c r="G998" i="1"/>
  <c r="E998" i="1"/>
  <c r="I997" i="1"/>
  <c r="G997" i="1"/>
  <c r="E997" i="1"/>
  <c r="I996" i="1"/>
  <c r="G996" i="1"/>
  <c r="E996" i="1"/>
  <c r="I995" i="1"/>
  <c r="G995" i="1"/>
  <c r="E995" i="1"/>
  <c r="I994" i="1"/>
  <c r="G994" i="1"/>
  <c r="E994" i="1"/>
  <c r="I993" i="1"/>
  <c r="G993" i="1"/>
  <c r="E993" i="1"/>
  <c r="I992" i="1"/>
  <c r="G992" i="1"/>
  <c r="E992" i="1"/>
  <c r="I991" i="1"/>
  <c r="G991" i="1"/>
  <c r="E991" i="1"/>
  <c r="I990" i="1"/>
  <c r="G990" i="1"/>
  <c r="E990" i="1"/>
  <c r="I989" i="1"/>
  <c r="G989" i="1"/>
  <c r="E989" i="1"/>
  <c r="I988" i="1"/>
  <c r="G988" i="1"/>
  <c r="E988" i="1"/>
  <c r="I987" i="1"/>
  <c r="G987" i="1"/>
  <c r="E987" i="1"/>
  <c r="I986" i="1"/>
  <c r="G986" i="1"/>
  <c r="E986" i="1"/>
  <c r="I985" i="1"/>
  <c r="G985" i="1"/>
  <c r="E985" i="1"/>
  <c r="I984" i="1"/>
  <c r="G984" i="1"/>
  <c r="E984" i="1"/>
  <c r="I983" i="1"/>
  <c r="G983" i="1"/>
  <c r="E983" i="1"/>
  <c r="I982" i="1"/>
  <c r="G982" i="1"/>
  <c r="E982" i="1"/>
  <c r="I981" i="1"/>
  <c r="G981" i="1"/>
  <c r="E981" i="1"/>
  <c r="I980" i="1"/>
  <c r="G980" i="1"/>
  <c r="E980" i="1"/>
  <c r="I979" i="1"/>
  <c r="G979" i="1"/>
  <c r="E979" i="1"/>
  <c r="I978" i="1"/>
  <c r="G978" i="1"/>
  <c r="E978" i="1"/>
  <c r="I977" i="1"/>
  <c r="G977" i="1"/>
  <c r="E977" i="1"/>
  <c r="I976" i="1"/>
  <c r="G976" i="1"/>
  <c r="E976" i="1"/>
  <c r="I975" i="1"/>
  <c r="G975" i="1"/>
  <c r="E975" i="1"/>
  <c r="I974" i="1"/>
  <c r="G974" i="1"/>
  <c r="E974" i="1"/>
  <c r="I973" i="1"/>
  <c r="G973" i="1"/>
  <c r="E973" i="1"/>
  <c r="I972" i="1"/>
  <c r="G972" i="1"/>
  <c r="E972" i="1"/>
  <c r="I971" i="1"/>
  <c r="G971" i="1"/>
  <c r="E971" i="1"/>
  <c r="I970" i="1"/>
  <c r="G970" i="1"/>
  <c r="E970" i="1"/>
  <c r="I969" i="1"/>
  <c r="G969" i="1"/>
  <c r="E969" i="1"/>
  <c r="I968" i="1"/>
  <c r="G968" i="1"/>
  <c r="E968" i="1"/>
  <c r="I967" i="1"/>
  <c r="G967" i="1"/>
  <c r="E967" i="1"/>
  <c r="I966" i="1"/>
  <c r="G966" i="1"/>
  <c r="E966" i="1"/>
  <c r="I965" i="1"/>
  <c r="G965" i="1"/>
  <c r="E965" i="1"/>
  <c r="I964" i="1"/>
  <c r="G964" i="1"/>
  <c r="E964" i="1"/>
  <c r="I963" i="1"/>
  <c r="G963" i="1"/>
  <c r="E963" i="1"/>
  <c r="I962" i="1"/>
  <c r="G962" i="1"/>
  <c r="E962" i="1"/>
  <c r="I961" i="1"/>
  <c r="G961" i="1"/>
  <c r="E961" i="1"/>
  <c r="I960" i="1"/>
  <c r="G960" i="1"/>
  <c r="E960" i="1"/>
  <c r="I959" i="1"/>
  <c r="G959" i="1"/>
  <c r="E959" i="1"/>
  <c r="I958" i="1"/>
  <c r="G958" i="1"/>
  <c r="E958" i="1"/>
  <c r="I957" i="1"/>
  <c r="G957" i="1"/>
  <c r="E957" i="1"/>
  <c r="I956" i="1"/>
  <c r="G956" i="1"/>
  <c r="E956" i="1"/>
  <c r="I955" i="1"/>
  <c r="G955" i="1"/>
  <c r="E955" i="1"/>
  <c r="I954" i="1"/>
  <c r="G954" i="1"/>
  <c r="E954" i="1"/>
  <c r="I953" i="1"/>
  <c r="G953" i="1"/>
  <c r="E953" i="1"/>
  <c r="I952" i="1"/>
  <c r="G952" i="1"/>
  <c r="E952" i="1"/>
  <c r="I951" i="1"/>
  <c r="G951" i="1"/>
  <c r="E951" i="1"/>
  <c r="I950" i="1"/>
  <c r="G950" i="1"/>
  <c r="E950" i="1"/>
  <c r="I949" i="1"/>
  <c r="G949" i="1"/>
  <c r="E949" i="1"/>
  <c r="I948" i="1"/>
  <c r="G948" i="1"/>
  <c r="E948" i="1"/>
  <c r="I947" i="1"/>
  <c r="G947" i="1"/>
  <c r="E947" i="1"/>
  <c r="I946" i="1"/>
  <c r="G946" i="1"/>
  <c r="E946" i="1"/>
  <c r="I945" i="1"/>
  <c r="G945" i="1"/>
  <c r="E945" i="1"/>
  <c r="I944" i="1"/>
  <c r="G944" i="1"/>
  <c r="E944" i="1"/>
  <c r="I943" i="1"/>
  <c r="G943" i="1"/>
  <c r="E943" i="1"/>
  <c r="I942" i="1"/>
  <c r="G942" i="1"/>
  <c r="E942" i="1"/>
  <c r="I941" i="1"/>
  <c r="G941" i="1"/>
  <c r="E941" i="1"/>
  <c r="I940" i="1"/>
  <c r="G940" i="1"/>
  <c r="E940" i="1"/>
  <c r="I939" i="1"/>
  <c r="G939" i="1"/>
  <c r="E939" i="1"/>
  <c r="I938" i="1"/>
  <c r="G938" i="1"/>
  <c r="E938" i="1"/>
  <c r="I937" i="1"/>
  <c r="G937" i="1"/>
  <c r="E937" i="1"/>
  <c r="I936" i="1"/>
  <c r="G936" i="1"/>
  <c r="E936" i="1"/>
  <c r="I935" i="1"/>
  <c r="G935" i="1"/>
  <c r="E935" i="1"/>
  <c r="I934" i="1"/>
  <c r="G934" i="1"/>
  <c r="E934" i="1"/>
  <c r="I933" i="1"/>
  <c r="G933" i="1"/>
  <c r="E933" i="1"/>
  <c r="I932" i="1"/>
  <c r="G932" i="1"/>
  <c r="E932" i="1"/>
  <c r="I931" i="1"/>
  <c r="G931" i="1"/>
  <c r="E931" i="1"/>
  <c r="I930" i="1"/>
  <c r="G930" i="1"/>
  <c r="E930" i="1"/>
  <c r="I929" i="1"/>
  <c r="G929" i="1"/>
  <c r="E929" i="1"/>
  <c r="I928" i="1"/>
  <c r="G928" i="1"/>
  <c r="E928" i="1"/>
  <c r="I927" i="1"/>
  <c r="G927" i="1"/>
  <c r="E927" i="1"/>
  <c r="I926" i="1"/>
  <c r="G926" i="1"/>
  <c r="E926" i="1"/>
  <c r="I925" i="1"/>
  <c r="G925" i="1"/>
  <c r="E925" i="1"/>
  <c r="I924" i="1"/>
  <c r="G924" i="1"/>
  <c r="E924" i="1"/>
  <c r="I923" i="1"/>
  <c r="G923" i="1"/>
  <c r="E923" i="1"/>
  <c r="I922" i="1"/>
  <c r="G922" i="1"/>
  <c r="E922" i="1"/>
  <c r="I921" i="1"/>
  <c r="G921" i="1"/>
  <c r="E921" i="1"/>
  <c r="I920" i="1"/>
  <c r="G920" i="1"/>
  <c r="E920" i="1"/>
  <c r="I919" i="1"/>
  <c r="G919" i="1"/>
  <c r="E919" i="1"/>
  <c r="I918" i="1"/>
  <c r="G918" i="1"/>
  <c r="E918" i="1"/>
  <c r="I917" i="1"/>
  <c r="G917" i="1"/>
  <c r="E917" i="1"/>
  <c r="I916" i="1"/>
  <c r="G916" i="1"/>
  <c r="E916" i="1"/>
  <c r="I915" i="1"/>
  <c r="G915" i="1"/>
  <c r="E915" i="1"/>
  <c r="I914" i="1"/>
  <c r="G914" i="1"/>
  <c r="E914" i="1"/>
  <c r="I913" i="1"/>
  <c r="G913" i="1"/>
  <c r="E913" i="1"/>
  <c r="I912" i="1"/>
  <c r="G912" i="1"/>
  <c r="E912" i="1"/>
  <c r="I911" i="1"/>
  <c r="G911" i="1"/>
  <c r="E911" i="1"/>
  <c r="I910" i="1"/>
  <c r="G910" i="1"/>
  <c r="E910" i="1"/>
  <c r="I909" i="1"/>
  <c r="G909" i="1"/>
  <c r="E909" i="1"/>
  <c r="I908" i="1"/>
  <c r="G908" i="1"/>
  <c r="E908" i="1"/>
  <c r="I907" i="1"/>
  <c r="G907" i="1"/>
  <c r="E907" i="1"/>
  <c r="I906" i="1"/>
  <c r="G906" i="1"/>
  <c r="E906" i="1"/>
  <c r="I905" i="1"/>
  <c r="G905" i="1"/>
  <c r="E905" i="1"/>
  <c r="I904" i="1"/>
  <c r="G904" i="1"/>
  <c r="E904" i="1"/>
  <c r="I903" i="1"/>
  <c r="G903" i="1"/>
  <c r="E903" i="1"/>
  <c r="I902" i="1"/>
  <c r="G902" i="1"/>
  <c r="E902" i="1"/>
  <c r="I901" i="1"/>
  <c r="G901" i="1"/>
  <c r="E901" i="1"/>
  <c r="I900" i="1"/>
  <c r="G900" i="1"/>
  <c r="E900" i="1"/>
  <c r="I899" i="1"/>
  <c r="G899" i="1"/>
  <c r="E899" i="1"/>
  <c r="I898" i="1"/>
  <c r="G898" i="1"/>
  <c r="E898" i="1"/>
  <c r="I897" i="1"/>
  <c r="G897" i="1"/>
  <c r="E897" i="1"/>
  <c r="I896" i="1"/>
  <c r="G896" i="1"/>
  <c r="E896" i="1"/>
  <c r="I895" i="1"/>
  <c r="G895" i="1"/>
  <c r="E895" i="1"/>
  <c r="I894" i="1"/>
  <c r="G894" i="1"/>
  <c r="E894" i="1"/>
  <c r="I893" i="1"/>
  <c r="G893" i="1"/>
  <c r="E893" i="1"/>
  <c r="I892" i="1"/>
  <c r="G892" i="1"/>
  <c r="E892" i="1"/>
  <c r="I891" i="1"/>
  <c r="G891" i="1"/>
  <c r="E891" i="1"/>
  <c r="I890" i="1"/>
  <c r="G890" i="1"/>
  <c r="E890" i="1"/>
  <c r="I889" i="1"/>
  <c r="G889" i="1"/>
  <c r="E889" i="1"/>
  <c r="I888" i="1"/>
  <c r="G888" i="1"/>
  <c r="E888" i="1"/>
  <c r="I887" i="1"/>
  <c r="G887" i="1"/>
  <c r="E887" i="1"/>
  <c r="I886" i="1"/>
  <c r="G886" i="1"/>
  <c r="E886" i="1"/>
  <c r="I885" i="1"/>
  <c r="G885" i="1"/>
  <c r="E885" i="1"/>
  <c r="I884" i="1"/>
  <c r="G884" i="1"/>
  <c r="E884" i="1"/>
  <c r="I883" i="1"/>
  <c r="G883" i="1"/>
  <c r="E883" i="1"/>
  <c r="I882" i="1"/>
  <c r="G882" i="1"/>
  <c r="E882" i="1"/>
  <c r="I881" i="1"/>
  <c r="G881" i="1"/>
  <c r="E881" i="1"/>
  <c r="I880" i="1"/>
  <c r="G880" i="1"/>
  <c r="E880" i="1"/>
  <c r="I879" i="1"/>
  <c r="G879" i="1"/>
  <c r="E879" i="1"/>
  <c r="I878" i="1"/>
  <c r="G878" i="1"/>
  <c r="E878" i="1"/>
  <c r="I877" i="1"/>
  <c r="G877" i="1"/>
  <c r="E877" i="1"/>
  <c r="I876" i="1"/>
  <c r="G876" i="1"/>
  <c r="E876" i="1"/>
  <c r="I875" i="1"/>
  <c r="G875" i="1"/>
  <c r="E875" i="1"/>
  <c r="I874" i="1"/>
  <c r="G874" i="1"/>
  <c r="E874" i="1"/>
  <c r="I873" i="1"/>
  <c r="G873" i="1"/>
  <c r="E873" i="1"/>
  <c r="I872" i="1"/>
  <c r="G872" i="1"/>
  <c r="E872" i="1"/>
  <c r="I871" i="1"/>
  <c r="G871" i="1"/>
  <c r="E871" i="1"/>
  <c r="I870" i="1"/>
  <c r="G870" i="1"/>
  <c r="E870" i="1"/>
  <c r="I869" i="1"/>
  <c r="G869" i="1"/>
  <c r="E869" i="1"/>
  <c r="I868" i="1"/>
  <c r="G868" i="1"/>
  <c r="E868" i="1"/>
  <c r="I867" i="1"/>
  <c r="G867" i="1"/>
  <c r="E867" i="1"/>
  <c r="I866" i="1"/>
  <c r="G866" i="1"/>
  <c r="E866" i="1"/>
  <c r="I865" i="1"/>
  <c r="G865" i="1"/>
  <c r="E865" i="1"/>
  <c r="I864" i="1"/>
  <c r="G864" i="1"/>
  <c r="E864" i="1"/>
  <c r="I863" i="1"/>
  <c r="G863" i="1"/>
  <c r="E863" i="1"/>
  <c r="I862" i="1"/>
  <c r="G862" i="1"/>
  <c r="E862" i="1"/>
  <c r="I861" i="1"/>
  <c r="G861" i="1"/>
  <c r="E861" i="1"/>
  <c r="I860" i="1"/>
  <c r="G860" i="1"/>
  <c r="E860" i="1"/>
  <c r="I859" i="1"/>
  <c r="G859" i="1"/>
  <c r="E859" i="1"/>
  <c r="I858" i="1"/>
  <c r="G858" i="1"/>
  <c r="E858" i="1"/>
  <c r="I857" i="1"/>
  <c r="G857" i="1"/>
  <c r="E857" i="1"/>
  <c r="I856" i="1"/>
  <c r="G856" i="1"/>
  <c r="E856" i="1"/>
  <c r="I855" i="1"/>
  <c r="G855" i="1"/>
  <c r="E855" i="1"/>
  <c r="I854" i="1"/>
  <c r="G854" i="1"/>
  <c r="E854" i="1"/>
  <c r="I853" i="1"/>
  <c r="G853" i="1"/>
  <c r="E853" i="1"/>
  <c r="I852" i="1"/>
  <c r="G852" i="1"/>
  <c r="E852" i="1"/>
  <c r="I851" i="1"/>
  <c r="G851" i="1"/>
  <c r="E851" i="1"/>
  <c r="I850" i="1"/>
  <c r="G850" i="1"/>
  <c r="E850" i="1"/>
  <c r="I849" i="1"/>
  <c r="G849" i="1"/>
  <c r="E849" i="1"/>
  <c r="I848" i="1"/>
  <c r="G848" i="1"/>
  <c r="E848" i="1"/>
  <c r="I847" i="1"/>
  <c r="G847" i="1"/>
  <c r="E847" i="1"/>
  <c r="I846" i="1"/>
  <c r="G846" i="1"/>
  <c r="E846" i="1"/>
  <c r="I845" i="1"/>
  <c r="G845" i="1"/>
  <c r="E845" i="1"/>
  <c r="I844" i="1"/>
  <c r="G844" i="1"/>
  <c r="E844" i="1"/>
  <c r="I843" i="1"/>
  <c r="G843" i="1"/>
  <c r="E843" i="1"/>
  <c r="I842" i="1"/>
  <c r="G842" i="1"/>
  <c r="E842" i="1"/>
  <c r="I841" i="1"/>
  <c r="G841" i="1"/>
  <c r="E841" i="1"/>
  <c r="I840" i="1"/>
  <c r="G840" i="1"/>
  <c r="E840" i="1"/>
  <c r="I839" i="1"/>
  <c r="G839" i="1"/>
  <c r="E839" i="1"/>
  <c r="I838" i="1"/>
  <c r="G838" i="1"/>
  <c r="E838" i="1"/>
  <c r="I837" i="1"/>
  <c r="G837" i="1"/>
  <c r="E837" i="1"/>
  <c r="I836" i="1"/>
  <c r="G836" i="1"/>
  <c r="E836" i="1"/>
  <c r="I835" i="1"/>
  <c r="G835" i="1"/>
  <c r="E835" i="1"/>
  <c r="I834" i="1"/>
  <c r="G834" i="1"/>
  <c r="E834" i="1"/>
  <c r="I833" i="1"/>
  <c r="G833" i="1"/>
  <c r="E833" i="1"/>
  <c r="I832" i="1"/>
  <c r="G832" i="1"/>
  <c r="E832" i="1"/>
  <c r="I831" i="1"/>
  <c r="G831" i="1"/>
  <c r="E831" i="1"/>
  <c r="I830" i="1"/>
  <c r="G830" i="1"/>
  <c r="E830" i="1"/>
  <c r="I829" i="1"/>
  <c r="G829" i="1"/>
  <c r="E829" i="1"/>
  <c r="I828" i="1"/>
  <c r="G828" i="1"/>
  <c r="E828" i="1"/>
  <c r="I827" i="1"/>
  <c r="G827" i="1"/>
  <c r="E827" i="1"/>
  <c r="I826" i="1"/>
  <c r="G826" i="1"/>
  <c r="E826" i="1"/>
  <c r="I825" i="1"/>
  <c r="G825" i="1"/>
  <c r="E825" i="1"/>
  <c r="I824" i="1"/>
  <c r="G824" i="1"/>
  <c r="E824" i="1"/>
  <c r="I823" i="1"/>
  <c r="G823" i="1"/>
  <c r="E823" i="1"/>
  <c r="I822" i="1"/>
  <c r="G822" i="1"/>
  <c r="E822" i="1"/>
  <c r="I821" i="1"/>
  <c r="G821" i="1"/>
  <c r="E821" i="1"/>
  <c r="I820" i="1"/>
  <c r="G820" i="1"/>
  <c r="E820" i="1"/>
  <c r="I819" i="1"/>
  <c r="G819" i="1"/>
  <c r="E819" i="1"/>
  <c r="I818" i="1"/>
  <c r="G818" i="1"/>
  <c r="E818" i="1"/>
  <c r="I817" i="1"/>
  <c r="G817" i="1"/>
  <c r="E817" i="1"/>
  <c r="I816" i="1"/>
  <c r="G816" i="1"/>
  <c r="E816" i="1"/>
  <c r="I815" i="1"/>
  <c r="G815" i="1"/>
  <c r="E815" i="1"/>
  <c r="I814" i="1"/>
  <c r="G814" i="1"/>
  <c r="E814" i="1"/>
  <c r="I813" i="1"/>
  <c r="G813" i="1"/>
  <c r="E813" i="1"/>
  <c r="I812" i="1"/>
  <c r="G812" i="1"/>
  <c r="E812" i="1"/>
  <c r="I811" i="1"/>
  <c r="G811" i="1"/>
  <c r="E811" i="1"/>
  <c r="I810" i="1"/>
  <c r="G810" i="1"/>
  <c r="E810" i="1"/>
  <c r="I809" i="1"/>
  <c r="G809" i="1"/>
  <c r="E809" i="1"/>
  <c r="I808" i="1"/>
  <c r="G808" i="1"/>
  <c r="E808" i="1"/>
  <c r="I807" i="1"/>
  <c r="G807" i="1"/>
  <c r="E807" i="1"/>
  <c r="I806" i="1"/>
  <c r="G806" i="1"/>
  <c r="E806" i="1"/>
  <c r="I805" i="1"/>
  <c r="G805" i="1"/>
  <c r="E805" i="1"/>
  <c r="I804" i="1"/>
  <c r="G804" i="1"/>
  <c r="E804" i="1"/>
  <c r="I803" i="1"/>
  <c r="G803" i="1"/>
  <c r="E803" i="1"/>
  <c r="I802" i="1"/>
  <c r="G802" i="1"/>
  <c r="E802" i="1"/>
  <c r="I801" i="1"/>
  <c r="G801" i="1"/>
  <c r="E801" i="1"/>
  <c r="I800" i="1"/>
  <c r="G800" i="1"/>
  <c r="E800" i="1"/>
  <c r="I799" i="1"/>
  <c r="G799" i="1"/>
  <c r="E799" i="1"/>
  <c r="I798" i="1"/>
  <c r="G798" i="1"/>
  <c r="E798" i="1"/>
  <c r="I797" i="1"/>
  <c r="G797" i="1"/>
  <c r="E797" i="1"/>
  <c r="I796" i="1"/>
  <c r="G796" i="1"/>
  <c r="E796" i="1"/>
  <c r="I795" i="1"/>
  <c r="G795" i="1"/>
  <c r="E795" i="1"/>
  <c r="I794" i="1"/>
  <c r="G794" i="1"/>
  <c r="E794" i="1"/>
  <c r="I793" i="1"/>
  <c r="G793" i="1"/>
  <c r="E793" i="1"/>
  <c r="I792" i="1"/>
  <c r="G792" i="1"/>
  <c r="E792" i="1"/>
  <c r="I791" i="1"/>
  <c r="G791" i="1"/>
  <c r="E791" i="1"/>
  <c r="I790" i="1"/>
  <c r="G790" i="1"/>
  <c r="E790" i="1"/>
  <c r="I789" i="1"/>
  <c r="G789" i="1"/>
  <c r="E789" i="1"/>
  <c r="I788" i="1"/>
  <c r="G788" i="1"/>
  <c r="E788" i="1"/>
  <c r="I787" i="1"/>
  <c r="G787" i="1"/>
  <c r="E787" i="1"/>
  <c r="I786" i="1"/>
  <c r="G786" i="1"/>
  <c r="E786" i="1"/>
  <c r="I785" i="1"/>
  <c r="G785" i="1"/>
  <c r="E785" i="1"/>
  <c r="I784" i="1"/>
  <c r="G784" i="1"/>
  <c r="E784" i="1"/>
  <c r="I783" i="1"/>
  <c r="G783" i="1"/>
  <c r="E783" i="1"/>
  <c r="I782" i="1"/>
  <c r="G782" i="1"/>
  <c r="E782" i="1"/>
  <c r="I781" i="1"/>
  <c r="G781" i="1"/>
  <c r="E781" i="1"/>
  <c r="I780" i="1"/>
  <c r="G780" i="1"/>
  <c r="E780" i="1"/>
  <c r="I779" i="1"/>
  <c r="G779" i="1"/>
  <c r="E779" i="1"/>
  <c r="I778" i="1"/>
  <c r="G778" i="1"/>
  <c r="E778" i="1"/>
  <c r="I777" i="1"/>
  <c r="G777" i="1"/>
  <c r="E777" i="1"/>
  <c r="I776" i="1"/>
  <c r="G776" i="1"/>
  <c r="E776" i="1"/>
  <c r="I775" i="1"/>
  <c r="G775" i="1"/>
  <c r="E775" i="1"/>
  <c r="I774" i="1"/>
  <c r="G774" i="1"/>
  <c r="E774" i="1"/>
  <c r="I773" i="1"/>
  <c r="G773" i="1"/>
  <c r="E773" i="1"/>
  <c r="I772" i="1"/>
  <c r="G772" i="1"/>
  <c r="E772" i="1"/>
  <c r="I771" i="1"/>
  <c r="G771" i="1"/>
  <c r="E771" i="1"/>
  <c r="I770" i="1"/>
  <c r="G770" i="1"/>
  <c r="E770" i="1"/>
  <c r="I769" i="1"/>
  <c r="G769" i="1"/>
  <c r="E769" i="1"/>
  <c r="I768" i="1"/>
  <c r="G768" i="1"/>
  <c r="E768" i="1"/>
  <c r="I767" i="1"/>
  <c r="G767" i="1"/>
  <c r="E767" i="1"/>
  <c r="I766" i="1"/>
  <c r="G766" i="1"/>
  <c r="E766" i="1"/>
  <c r="I765" i="1"/>
  <c r="G765" i="1"/>
  <c r="E765" i="1"/>
  <c r="I764" i="1"/>
  <c r="G764" i="1"/>
  <c r="E764" i="1"/>
  <c r="I763" i="1"/>
  <c r="G763" i="1"/>
  <c r="E763" i="1"/>
  <c r="I762" i="1"/>
  <c r="G762" i="1"/>
  <c r="E762" i="1"/>
  <c r="I761" i="1"/>
  <c r="G761" i="1"/>
  <c r="E761" i="1"/>
  <c r="I760" i="1"/>
  <c r="G760" i="1"/>
  <c r="E760" i="1"/>
  <c r="I759" i="1"/>
  <c r="G759" i="1"/>
  <c r="E759" i="1"/>
  <c r="I758" i="1"/>
  <c r="G758" i="1"/>
  <c r="E758" i="1"/>
  <c r="I757" i="1"/>
  <c r="G757" i="1"/>
  <c r="E757" i="1"/>
  <c r="I756" i="1"/>
  <c r="G756" i="1"/>
  <c r="E756" i="1"/>
  <c r="I755" i="1"/>
  <c r="G755" i="1"/>
  <c r="E755" i="1"/>
  <c r="I754" i="1"/>
  <c r="G754" i="1"/>
  <c r="E754" i="1"/>
  <c r="I753" i="1"/>
  <c r="G753" i="1"/>
  <c r="E753" i="1"/>
  <c r="I752" i="1"/>
  <c r="G752" i="1"/>
  <c r="E752" i="1"/>
  <c r="I751" i="1"/>
  <c r="G751" i="1"/>
  <c r="E751" i="1"/>
  <c r="I750" i="1"/>
  <c r="G750" i="1"/>
  <c r="E750" i="1"/>
  <c r="I749" i="1"/>
  <c r="G749" i="1"/>
  <c r="E749" i="1"/>
  <c r="I748" i="1"/>
  <c r="G748" i="1"/>
  <c r="E748" i="1"/>
  <c r="I747" i="1"/>
  <c r="G747" i="1"/>
  <c r="E747" i="1"/>
  <c r="I746" i="1"/>
  <c r="G746" i="1"/>
  <c r="E746" i="1"/>
  <c r="I745" i="1"/>
  <c r="G745" i="1"/>
  <c r="E745" i="1"/>
  <c r="I744" i="1"/>
  <c r="G744" i="1"/>
  <c r="E744" i="1"/>
  <c r="I743" i="1"/>
  <c r="G743" i="1"/>
  <c r="E743" i="1"/>
  <c r="I742" i="1"/>
  <c r="G742" i="1"/>
  <c r="E742" i="1"/>
  <c r="I741" i="1"/>
  <c r="G741" i="1"/>
  <c r="E741" i="1"/>
  <c r="I740" i="1"/>
  <c r="G740" i="1"/>
  <c r="E740" i="1"/>
  <c r="I739" i="1"/>
  <c r="G739" i="1"/>
  <c r="E739" i="1"/>
  <c r="I738" i="1"/>
  <c r="G738" i="1"/>
  <c r="E738" i="1"/>
  <c r="I737" i="1"/>
  <c r="G737" i="1"/>
  <c r="E737" i="1"/>
  <c r="I736" i="1"/>
  <c r="G736" i="1"/>
  <c r="E736" i="1"/>
  <c r="I735" i="1"/>
  <c r="G735" i="1"/>
  <c r="E735" i="1"/>
  <c r="I734" i="1"/>
  <c r="G734" i="1"/>
  <c r="E734" i="1"/>
  <c r="I733" i="1"/>
  <c r="G733" i="1"/>
  <c r="E733" i="1"/>
  <c r="I732" i="1"/>
  <c r="G732" i="1"/>
  <c r="E732" i="1"/>
  <c r="I731" i="1"/>
  <c r="G731" i="1"/>
  <c r="E731" i="1"/>
  <c r="I730" i="1"/>
  <c r="G730" i="1"/>
  <c r="E730" i="1"/>
  <c r="I729" i="1"/>
  <c r="G729" i="1"/>
  <c r="E729" i="1"/>
  <c r="I728" i="1"/>
  <c r="G728" i="1"/>
  <c r="E728" i="1"/>
  <c r="I727" i="1"/>
  <c r="G727" i="1"/>
  <c r="E727" i="1"/>
  <c r="I726" i="1"/>
  <c r="G726" i="1"/>
  <c r="E726" i="1"/>
  <c r="I725" i="1"/>
  <c r="G725" i="1"/>
  <c r="E725" i="1"/>
  <c r="I724" i="1"/>
  <c r="G724" i="1"/>
  <c r="E724" i="1"/>
  <c r="I723" i="1"/>
  <c r="G723" i="1"/>
  <c r="E723" i="1"/>
  <c r="I722" i="1"/>
  <c r="G722" i="1"/>
  <c r="E722" i="1"/>
  <c r="I721" i="1"/>
  <c r="G721" i="1"/>
  <c r="E721" i="1"/>
  <c r="I720" i="1"/>
  <c r="G720" i="1"/>
  <c r="E720" i="1"/>
  <c r="I719" i="1"/>
  <c r="G719" i="1"/>
  <c r="E719" i="1"/>
  <c r="I718" i="1"/>
  <c r="G718" i="1"/>
  <c r="E718" i="1"/>
  <c r="I717" i="1"/>
  <c r="G717" i="1"/>
  <c r="E717" i="1"/>
  <c r="I716" i="1"/>
  <c r="G716" i="1"/>
  <c r="E716" i="1"/>
  <c r="I715" i="1"/>
  <c r="G715" i="1"/>
  <c r="E715" i="1"/>
  <c r="I714" i="1"/>
  <c r="G714" i="1"/>
  <c r="E714" i="1"/>
  <c r="I713" i="1"/>
  <c r="G713" i="1"/>
  <c r="E713" i="1"/>
  <c r="I712" i="1"/>
  <c r="G712" i="1"/>
  <c r="E712" i="1"/>
  <c r="I711" i="1"/>
  <c r="G711" i="1"/>
  <c r="E711" i="1"/>
  <c r="I710" i="1"/>
  <c r="G710" i="1"/>
  <c r="E710" i="1"/>
  <c r="I709" i="1"/>
  <c r="G709" i="1"/>
  <c r="E709" i="1"/>
  <c r="I708" i="1"/>
  <c r="G708" i="1"/>
  <c r="E708" i="1"/>
  <c r="I707" i="1"/>
  <c r="G707" i="1"/>
  <c r="E707" i="1"/>
  <c r="I706" i="1"/>
  <c r="G706" i="1"/>
  <c r="E706" i="1"/>
  <c r="I705" i="1"/>
  <c r="G705" i="1"/>
  <c r="E705" i="1"/>
  <c r="I704" i="1"/>
  <c r="G704" i="1"/>
  <c r="E704" i="1"/>
  <c r="I703" i="1"/>
  <c r="G703" i="1"/>
  <c r="E703" i="1"/>
  <c r="I702" i="1"/>
  <c r="G702" i="1"/>
  <c r="E702" i="1"/>
  <c r="I701" i="1"/>
  <c r="G701" i="1"/>
  <c r="E701" i="1"/>
  <c r="I700" i="1"/>
  <c r="G700" i="1"/>
  <c r="E700" i="1"/>
  <c r="I699" i="1"/>
  <c r="G699" i="1"/>
  <c r="E699" i="1"/>
  <c r="I698" i="1"/>
  <c r="G698" i="1"/>
  <c r="E698" i="1"/>
  <c r="I697" i="1"/>
  <c r="G697" i="1"/>
  <c r="E697" i="1"/>
  <c r="I696" i="1"/>
  <c r="G696" i="1"/>
  <c r="E696" i="1"/>
  <c r="I695" i="1"/>
  <c r="G695" i="1"/>
  <c r="E695" i="1"/>
  <c r="I694" i="1"/>
  <c r="G694" i="1"/>
  <c r="E694" i="1"/>
  <c r="I693" i="1"/>
  <c r="G693" i="1"/>
  <c r="E693" i="1"/>
  <c r="I692" i="1"/>
  <c r="G692" i="1"/>
  <c r="E692" i="1"/>
  <c r="I691" i="1"/>
  <c r="G691" i="1"/>
  <c r="E691" i="1"/>
  <c r="I690" i="1"/>
  <c r="G690" i="1"/>
  <c r="E690" i="1"/>
  <c r="I689" i="1"/>
  <c r="G689" i="1"/>
  <c r="E689" i="1"/>
  <c r="I688" i="1"/>
  <c r="G688" i="1"/>
  <c r="E688" i="1"/>
  <c r="I687" i="1"/>
  <c r="G687" i="1"/>
  <c r="E687" i="1"/>
  <c r="I686" i="1"/>
  <c r="G686" i="1"/>
  <c r="E686" i="1"/>
  <c r="I685" i="1"/>
  <c r="G685" i="1"/>
  <c r="E685" i="1"/>
  <c r="I684" i="1"/>
  <c r="G684" i="1"/>
  <c r="E684" i="1"/>
  <c r="I683" i="1"/>
  <c r="G683" i="1"/>
  <c r="E683" i="1"/>
  <c r="I682" i="1"/>
  <c r="G682" i="1"/>
  <c r="E682" i="1"/>
  <c r="I681" i="1"/>
  <c r="G681" i="1"/>
  <c r="E681" i="1"/>
  <c r="I680" i="1"/>
  <c r="G680" i="1"/>
  <c r="E680" i="1"/>
  <c r="I679" i="1"/>
  <c r="G679" i="1"/>
  <c r="E679" i="1"/>
  <c r="I678" i="1"/>
  <c r="G678" i="1"/>
  <c r="E678" i="1"/>
  <c r="I677" i="1"/>
  <c r="G677" i="1"/>
  <c r="E677" i="1"/>
  <c r="I676" i="1"/>
  <c r="G676" i="1"/>
  <c r="E676" i="1"/>
  <c r="I675" i="1"/>
  <c r="G675" i="1"/>
  <c r="E675" i="1"/>
  <c r="I674" i="1"/>
  <c r="G674" i="1"/>
  <c r="E674" i="1"/>
  <c r="I673" i="1"/>
  <c r="G673" i="1"/>
  <c r="E673" i="1"/>
  <c r="I672" i="1"/>
  <c r="G672" i="1"/>
  <c r="E672" i="1"/>
  <c r="I671" i="1"/>
  <c r="G671" i="1"/>
  <c r="E671" i="1"/>
  <c r="I670" i="1"/>
  <c r="G670" i="1"/>
  <c r="E670" i="1"/>
  <c r="I669" i="1"/>
  <c r="G669" i="1"/>
  <c r="E669" i="1"/>
  <c r="I668" i="1"/>
  <c r="G668" i="1"/>
  <c r="E668" i="1"/>
  <c r="I667" i="1"/>
  <c r="G667" i="1"/>
  <c r="E667" i="1"/>
  <c r="I666" i="1"/>
  <c r="G666" i="1"/>
  <c r="E666" i="1"/>
  <c r="I665" i="1"/>
  <c r="G665" i="1"/>
  <c r="E665" i="1"/>
  <c r="I664" i="1"/>
  <c r="G664" i="1"/>
  <c r="E664" i="1"/>
  <c r="I663" i="1"/>
  <c r="G663" i="1"/>
  <c r="E663" i="1"/>
  <c r="I662" i="1"/>
  <c r="G662" i="1"/>
  <c r="E662" i="1"/>
  <c r="I661" i="1"/>
  <c r="G661" i="1"/>
  <c r="E661" i="1"/>
  <c r="I660" i="1"/>
  <c r="G660" i="1"/>
  <c r="E660" i="1"/>
  <c r="I659" i="1"/>
  <c r="G659" i="1"/>
  <c r="E659" i="1"/>
  <c r="I658" i="1"/>
  <c r="G658" i="1"/>
  <c r="E658" i="1"/>
  <c r="I657" i="1"/>
  <c r="G657" i="1"/>
  <c r="E657" i="1"/>
  <c r="I656" i="1"/>
  <c r="G656" i="1"/>
  <c r="E656" i="1"/>
  <c r="I655" i="1"/>
  <c r="G655" i="1"/>
  <c r="E655" i="1"/>
  <c r="I654" i="1"/>
  <c r="G654" i="1"/>
  <c r="E654" i="1"/>
  <c r="I653" i="1"/>
  <c r="G653" i="1"/>
  <c r="E653" i="1"/>
  <c r="I652" i="1"/>
  <c r="G652" i="1"/>
  <c r="E652" i="1"/>
  <c r="I651" i="1"/>
  <c r="G651" i="1"/>
  <c r="E651" i="1"/>
  <c r="I650" i="1"/>
  <c r="G650" i="1"/>
  <c r="E650" i="1"/>
  <c r="I649" i="1"/>
  <c r="G649" i="1"/>
  <c r="E649" i="1"/>
  <c r="I648" i="1"/>
  <c r="G648" i="1"/>
  <c r="E648" i="1"/>
  <c r="I647" i="1"/>
  <c r="G647" i="1"/>
  <c r="E647" i="1"/>
  <c r="I646" i="1"/>
  <c r="G646" i="1"/>
  <c r="E646" i="1"/>
  <c r="I645" i="1"/>
  <c r="G645" i="1"/>
  <c r="E645" i="1"/>
  <c r="I644" i="1"/>
  <c r="G644" i="1"/>
  <c r="E644" i="1"/>
  <c r="I643" i="1"/>
  <c r="G643" i="1"/>
  <c r="E643" i="1"/>
  <c r="I642" i="1"/>
  <c r="G642" i="1"/>
  <c r="E642" i="1"/>
  <c r="I641" i="1"/>
  <c r="G641" i="1"/>
  <c r="E641" i="1"/>
  <c r="I640" i="1"/>
  <c r="G640" i="1"/>
  <c r="E640" i="1"/>
  <c r="I639" i="1"/>
  <c r="G639" i="1"/>
  <c r="E639" i="1"/>
  <c r="I638" i="1"/>
  <c r="G638" i="1"/>
  <c r="E638" i="1"/>
  <c r="I637" i="1"/>
  <c r="G637" i="1"/>
  <c r="E637" i="1"/>
  <c r="I636" i="1"/>
  <c r="G636" i="1"/>
  <c r="E636" i="1"/>
  <c r="I635" i="1"/>
  <c r="G635" i="1"/>
  <c r="E635" i="1"/>
  <c r="I634" i="1"/>
  <c r="G634" i="1"/>
  <c r="E634" i="1"/>
  <c r="I633" i="1"/>
  <c r="G633" i="1"/>
  <c r="E633" i="1"/>
  <c r="I632" i="1"/>
  <c r="G632" i="1"/>
  <c r="E632" i="1"/>
  <c r="I631" i="1"/>
  <c r="G631" i="1"/>
  <c r="E631" i="1"/>
  <c r="I630" i="1"/>
  <c r="G630" i="1"/>
  <c r="E630" i="1"/>
  <c r="I629" i="1"/>
  <c r="G629" i="1"/>
  <c r="E629" i="1"/>
  <c r="I628" i="1"/>
  <c r="G628" i="1"/>
  <c r="E628" i="1"/>
  <c r="I627" i="1"/>
  <c r="G627" i="1"/>
  <c r="E627" i="1"/>
  <c r="I626" i="1"/>
  <c r="G626" i="1"/>
  <c r="E626" i="1"/>
  <c r="I625" i="1"/>
  <c r="G625" i="1"/>
  <c r="E625" i="1"/>
  <c r="I624" i="1"/>
  <c r="G624" i="1"/>
  <c r="E624" i="1"/>
  <c r="I623" i="1"/>
  <c r="G623" i="1"/>
  <c r="E623" i="1"/>
  <c r="I622" i="1"/>
  <c r="G622" i="1"/>
  <c r="E622" i="1"/>
  <c r="I621" i="1"/>
  <c r="G621" i="1"/>
  <c r="E621" i="1"/>
  <c r="I620" i="1"/>
  <c r="G620" i="1"/>
  <c r="E620" i="1"/>
  <c r="I619" i="1"/>
  <c r="G619" i="1"/>
  <c r="E619" i="1"/>
  <c r="I618" i="1"/>
  <c r="G618" i="1"/>
  <c r="E618" i="1"/>
  <c r="I617" i="1"/>
  <c r="G617" i="1"/>
  <c r="E617" i="1"/>
  <c r="I616" i="1"/>
  <c r="G616" i="1"/>
  <c r="E616" i="1"/>
  <c r="I615" i="1"/>
  <c r="G615" i="1"/>
  <c r="E615" i="1"/>
  <c r="I614" i="1"/>
  <c r="G614" i="1"/>
  <c r="E614" i="1"/>
  <c r="I613" i="1"/>
  <c r="G613" i="1"/>
  <c r="E613" i="1"/>
  <c r="I612" i="1"/>
  <c r="G612" i="1"/>
  <c r="E612" i="1"/>
  <c r="I611" i="1"/>
  <c r="G611" i="1"/>
  <c r="E611" i="1"/>
  <c r="I610" i="1"/>
  <c r="G610" i="1"/>
  <c r="E610" i="1"/>
  <c r="I609" i="1"/>
  <c r="G609" i="1"/>
  <c r="E609" i="1"/>
  <c r="I608" i="1"/>
  <c r="G608" i="1"/>
  <c r="E608" i="1"/>
  <c r="I607" i="1"/>
  <c r="G607" i="1"/>
  <c r="E607" i="1"/>
  <c r="I606" i="1"/>
  <c r="G606" i="1"/>
  <c r="E606" i="1"/>
  <c r="I605" i="1"/>
  <c r="G605" i="1"/>
  <c r="E605" i="1"/>
  <c r="I604" i="1"/>
  <c r="G604" i="1"/>
  <c r="E604" i="1"/>
  <c r="I603" i="1"/>
  <c r="G603" i="1"/>
  <c r="E603" i="1"/>
  <c r="I602" i="1"/>
  <c r="G602" i="1"/>
  <c r="E602" i="1"/>
  <c r="I601" i="1"/>
  <c r="G601" i="1"/>
  <c r="E601" i="1"/>
  <c r="I600" i="1"/>
  <c r="G600" i="1"/>
  <c r="E600" i="1"/>
  <c r="I599" i="1"/>
  <c r="G599" i="1"/>
  <c r="E599" i="1"/>
  <c r="I598" i="1"/>
  <c r="G598" i="1"/>
  <c r="E598" i="1"/>
  <c r="I597" i="1"/>
  <c r="G597" i="1"/>
  <c r="E597" i="1"/>
  <c r="I596" i="1"/>
  <c r="G596" i="1"/>
  <c r="E596" i="1"/>
  <c r="I595" i="1"/>
  <c r="G595" i="1"/>
  <c r="E595" i="1"/>
  <c r="I594" i="1"/>
  <c r="G594" i="1"/>
  <c r="E594" i="1"/>
  <c r="I593" i="1"/>
  <c r="G593" i="1"/>
  <c r="E593" i="1"/>
  <c r="I592" i="1"/>
  <c r="G592" i="1"/>
  <c r="E592" i="1"/>
  <c r="I591" i="1"/>
  <c r="G591" i="1"/>
  <c r="E591" i="1"/>
  <c r="I590" i="1"/>
  <c r="G590" i="1"/>
  <c r="E590" i="1"/>
  <c r="I589" i="1"/>
  <c r="G589" i="1"/>
  <c r="E589" i="1"/>
  <c r="I588" i="1"/>
  <c r="G588" i="1"/>
  <c r="E588" i="1"/>
  <c r="I587" i="1"/>
  <c r="G587" i="1"/>
  <c r="E587" i="1"/>
  <c r="I586" i="1"/>
  <c r="G586" i="1"/>
  <c r="E586" i="1"/>
  <c r="I585" i="1"/>
  <c r="G585" i="1"/>
  <c r="E585" i="1"/>
  <c r="I584" i="1"/>
  <c r="G584" i="1"/>
  <c r="E584" i="1"/>
  <c r="I583" i="1"/>
  <c r="G583" i="1"/>
  <c r="E583" i="1"/>
  <c r="I582" i="1"/>
  <c r="G582" i="1"/>
  <c r="E582" i="1"/>
  <c r="I581" i="1"/>
  <c r="G581" i="1"/>
  <c r="E581" i="1"/>
  <c r="I580" i="1"/>
  <c r="G580" i="1"/>
  <c r="E580" i="1"/>
  <c r="I579" i="1"/>
  <c r="G579" i="1"/>
  <c r="E579" i="1"/>
  <c r="I578" i="1"/>
  <c r="G578" i="1"/>
  <c r="E578" i="1"/>
  <c r="I577" i="1"/>
  <c r="G577" i="1"/>
  <c r="E577" i="1"/>
  <c r="I576" i="1"/>
  <c r="G576" i="1"/>
  <c r="E576" i="1"/>
  <c r="I575" i="1"/>
  <c r="G575" i="1"/>
  <c r="E575" i="1"/>
  <c r="I574" i="1"/>
  <c r="G574" i="1"/>
  <c r="E574" i="1"/>
  <c r="I573" i="1"/>
  <c r="G573" i="1"/>
  <c r="E573" i="1"/>
  <c r="I572" i="1"/>
  <c r="G572" i="1"/>
  <c r="E572" i="1"/>
  <c r="I571" i="1"/>
  <c r="G571" i="1"/>
  <c r="E571" i="1"/>
  <c r="I570" i="1"/>
  <c r="G570" i="1"/>
  <c r="E570" i="1"/>
  <c r="I569" i="1"/>
  <c r="G569" i="1"/>
  <c r="E569" i="1"/>
  <c r="I568" i="1"/>
  <c r="G568" i="1"/>
  <c r="E568" i="1"/>
  <c r="I567" i="1"/>
  <c r="G567" i="1"/>
  <c r="E567" i="1"/>
  <c r="I566" i="1"/>
  <c r="G566" i="1"/>
  <c r="E566" i="1"/>
  <c r="I565" i="1"/>
  <c r="G565" i="1"/>
  <c r="E565" i="1"/>
  <c r="I564" i="1"/>
  <c r="G564" i="1"/>
  <c r="E564" i="1"/>
  <c r="I563" i="1"/>
  <c r="G563" i="1"/>
  <c r="E563" i="1"/>
  <c r="I562" i="1"/>
  <c r="G562" i="1"/>
  <c r="E562" i="1"/>
  <c r="I561" i="1"/>
  <c r="G561" i="1"/>
  <c r="E561" i="1"/>
  <c r="I560" i="1"/>
  <c r="G560" i="1"/>
  <c r="E560" i="1"/>
  <c r="I559" i="1"/>
  <c r="G559" i="1"/>
  <c r="E559" i="1"/>
  <c r="I558" i="1"/>
  <c r="G558" i="1"/>
  <c r="E558" i="1"/>
  <c r="I557" i="1"/>
  <c r="G557" i="1"/>
  <c r="E557" i="1"/>
  <c r="I556" i="1"/>
  <c r="G556" i="1"/>
  <c r="E556" i="1"/>
  <c r="I555" i="1"/>
  <c r="G555" i="1"/>
  <c r="E555" i="1"/>
  <c r="I554" i="1"/>
  <c r="G554" i="1"/>
  <c r="E554" i="1"/>
  <c r="I553" i="1"/>
  <c r="G553" i="1"/>
  <c r="E553" i="1"/>
  <c r="I552" i="1"/>
  <c r="G552" i="1"/>
  <c r="E552" i="1"/>
  <c r="I551" i="1"/>
  <c r="G551" i="1"/>
  <c r="E551" i="1"/>
  <c r="I550" i="1"/>
  <c r="G550" i="1"/>
  <c r="E550" i="1"/>
  <c r="I549" i="1"/>
  <c r="G549" i="1"/>
  <c r="E549" i="1"/>
  <c r="I548" i="1"/>
  <c r="G548" i="1"/>
  <c r="E548" i="1"/>
  <c r="I547" i="1"/>
  <c r="G547" i="1"/>
  <c r="E547" i="1"/>
  <c r="I546" i="1"/>
  <c r="G546" i="1"/>
  <c r="E546" i="1"/>
  <c r="I545" i="1"/>
  <c r="G545" i="1"/>
  <c r="E545" i="1"/>
  <c r="I544" i="1"/>
  <c r="G544" i="1"/>
  <c r="E544" i="1"/>
  <c r="I543" i="1"/>
  <c r="G543" i="1"/>
  <c r="E543" i="1"/>
  <c r="I542" i="1"/>
  <c r="G542" i="1"/>
  <c r="E542" i="1"/>
  <c r="I541" i="1"/>
  <c r="G541" i="1"/>
  <c r="E541" i="1"/>
  <c r="I540" i="1"/>
  <c r="G540" i="1"/>
  <c r="E540" i="1"/>
  <c r="I539" i="1"/>
  <c r="G539" i="1"/>
  <c r="E539" i="1"/>
  <c r="I538" i="1"/>
  <c r="G538" i="1"/>
  <c r="E538" i="1"/>
  <c r="I537" i="1"/>
  <c r="G537" i="1"/>
  <c r="E537" i="1"/>
  <c r="I536" i="1"/>
  <c r="G536" i="1"/>
  <c r="E536" i="1"/>
  <c r="I535" i="1"/>
  <c r="G535" i="1"/>
  <c r="E535" i="1"/>
  <c r="I534" i="1"/>
  <c r="G534" i="1"/>
  <c r="E534" i="1"/>
  <c r="I533" i="1"/>
  <c r="G533" i="1"/>
  <c r="E533" i="1"/>
  <c r="I532" i="1"/>
  <c r="G532" i="1"/>
  <c r="E532" i="1"/>
  <c r="I531" i="1"/>
  <c r="G531" i="1"/>
  <c r="E531" i="1"/>
  <c r="I530" i="1"/>
  <c r="G530" i="1"/>
  <c r="E530" i="1"/>
  <c r="I529" i="1"/>
  <c r="G529" i="1"/>
  <c r="E529" i="1"/>
  <c r="I528" i="1"/>
  <c r="G528" i="1"/>
  <c r="E528" i="1"/>
  <c r="I527" i="1"/>
  <c r="G527" i="1"/>
  <c r="E527" i="1"/>
  <c r="I526" i="1"/>
  <c r="G526" i="1"/>
  <c r="E526" i="1"/>
  <c r="I525" i="1"/>
  <c r="G525" i="1"/>
  <c r="E525" i="1"/>
  <c r="I524" i="1"/>
  <c r="G524" i="1"/>
  <c r="E524" i="1"/>
  <c r="I523" i="1"/>
  <c r="G523" i="1"/>
  <c r="E523" i="1"/>
  <c r="I522" i="1"/>
  <c r="G522" i="1"/>
  <c r="E522" i="1"/>
  <c r="I521" i="1"/>
  <c r="G521" i="1"/>
  <c r="E521" i="1"/>
  <c r="I520" i="1"/>
  <c r="G520" i="1"/>
  <c r="E520" i="1"/>
  <c r="I519" i="1"/>
  <c r="G519" i="1"/>
  <c r="E519" i="1"/>
  <c r="I518" i="1"/>
  <c r="G518" i="1"/>
  <c r="E518" i="1"/>
  <c r="I517" i="1"/>
  <c r="G517" i="1"/>
  <c r="E517" i="1"/>
  <c r="I516" i="1"/>
  <c r="G516" i="1"/>
  <c r="E516" i="1"/>
  <c r="I515" i="1"/>
  <c r="G515" i="1"/>
  <c r="E515" i="1"/>
  <c r="I514" i="1"/>
  <c r="G514" i="1"/>
  <c r="E514" i="1"/>
  <c r="I513" i="1"/>
  <c r="G513" i="1"/>
  <c r="E513" i="1"/>
  <c r="I512" i="1"/>
  <c r="G512" i="1"/>
  <c r="E512" i="1"/>
  <c r="I511" i="1"/>
  <c r="G511" i="1"/>
  <c r="E511" i="1"/>
  <c r="I510" i="1"/>
  <c r="G510" i="1"/>
  <c r="E510" i="1"/>
  <c r="I509" i="1"/>
  <c r="G509" i="1"/>
  <c r="E509" i="1"/>
  <c r="I508" i="1"/>
  <c r="G508" i="1"/>
  <c r="E508" i="1"/>
  <c r="I507" i="1"/>
  <c r="G507" i="1"/>
  <c r="E507" i="1"/>
  <c r="I506" i="1"/>
  <c r="G506" i="1"/>
  <c r="E506" i="1"/>
  <c r="I505" i="1"/>
  <c r="G505" i="1"/>
  <c r="E505" i="1"/>
  <c r="I504" i="1"/>
  <c r="G504" i="1"/>
  <c r="E504" i="1"/>
  <c r="I503" i="1"/>
  <c r="G503" i="1"/>
  <c r="E503" i="1"/>
  <c r="I502" i="1"/>
  <c r="G502" i="1"/>
  <c r="E502" i="1"/>
  <c r="I501" i="1"/>
  <c r="G501" i="1"/>
  <c r="E501" i="1"/>
  <c r="I500" i="1"/>
  <c r="G500" i="1"/>
  <c r="E500" i="1"/>
  <c r="I499" i="1"/>
  <c r="G499" i="1"/>
  <c r="E499" i="1"/>
  <c r="I498" i="1"/>
  <c r="G498" i="1"/>
  <c r="E498" i="1"/>
  <c r="I497" i="1"/>
  <c r="G497" i="1"/>
  <c r="E497" i="1"/>
  <c r="I496" i="1"/>
  <c r="G496" i="1"/>
  <c r="E496" i="1"/>
  <c r="I495" i="1"/>
  <c r="G495" i="1"/>
  <c r="E495" i="1"/>
  <c r="I494" i="1"/>
  <c r="G494" i="1"/>
  <c r="E494" i="1"/>
  <c r="I493" i="1"/>
  <c r="G493" i="1"/>
  <c r="E493" i="1"/>
  <c r="I492" i="1"/>
  <c r="G492" i="1"/>
  <c r="E492" i="1"/>
  <c r="I491" i="1"/>
  <c r="G491" i="1"/>
  <c r="E491" i="1"/>
  <c r="I490" i="1"/>
  <c r="G490" i="1"/>
  <c r="E490" i="1"/>
  <c r="I489" i="1"/>
  <c r="G489" i="1"/>
  <c r="E489" i="1"/>
  <c r="I488" i="1"/>
  <c r="G488" i="1"/>
  <c r="E488" i="1"/>
  <c r="I487" i="1"/>
  <c r="G487" i="1"/>
  <c r="E487" i="1"/>
  <c r="I486" i="1"/>
  <c r="G486" i="1"/>
  <c r="E486" i="1"/>
  <c r="I485" i="1"/>
  <c r="G485" i="1"/>
  <c r="E485" i="1"/>
  <c r="I484" i="1"/>
  <c r="G484" i="1"/>
  <c r="E484" i="1"/>
  <c r="I483" i="1"/>
  <c r="G483" i="1"/>
  <c r="E483" i="1"/>
  <c r="I482" i="1"/>
  <c r="G482" i="1"/>
  <c r="E482" i="1"/>
  <c r="I481" i="1"/>
  <c r="G481" i="1"/>
  <c r="E481" i="1"/>
  <c r="I480" i="1"/>
  <c r="G480" i="1"/>
  <c r="E480" i="1"/>
  <c r="I479" i="1"/>
  <c r="G479" i="1"/>
  <c r="E479" i="1"/>
  <c r="I478" i="1"/>
  <c r="G478" i="1"/>
  <c r="E478" i="1"/>
  <c r="I477" i="1"/>
  <c r="G477" i="1"/>
  <c r="E477" i="1"/>
  <c r="I476" i="1"/>
  <c r="G476" i="1"/>
  <c r="E476" i="1"/>
  <c r="I475" i="1"/>
  <c r="G475" i="1"/>
  <c r="E475" i="1"/>
  <c r="I474" i="1"/>
  <c r="G474" i="1"/>
  <c r="E474" i="1"/>
  <c r="I473" i="1"/>
  <c r="G473" i="1"/>
  <c r="E473" i="1"/>
  <c r="I472" i="1"/>
  <c r="G472" i="1"/>
  <c r="E472" i="1"/>
  <c r="I471" i="1"/>
  <c r="G471" i="1"/>
  <c r="E471" i="1"/>
  <c r="I470" i="1"/>
  <c r="G470" i="1"/>
  <c r="E470" i="1"/>
  <c r="I469" i="1"/>
  <c r="G469" i="1"/>
  <c r="E469" i="1"/>
  <c r="I468" i="1"/>
  <c r="G468" i="1"/>
  <c r="E468" i="1"/>
  <c r="I467" i="1"/>
  <c r="G467" i="1"/>
  <c r="E467" i="1"/>
  <c r="I466" i="1"/>
  <c r="G466" i="1"/>
  <c r="E466" i="1"/>
  <c r="I465" i="1"/>
  <c r="G465" i="1"/>
  <c r="E465" i="1"/>
  <c r="I464" i="1"/>
  <c r="G464" i="1"/>
  <c r="E464" i="1"/>
  <c r="I463" i="1"/>
  <c r="G463" i="1"/>
  <c r="E463" i="1"/>
  <c r="I462" i="1"/>
  <c r="G462" i="1"/>
  <c r="E462" i="1"/>
  <c r="I461" i="1"/>
  <c r="G461" i="1"/>
  <c r="E461" i="1"/>
  <c r="I460" i="1"/>
  <c r="G460" i="1"/>
  <c r="E460" i="1"/>
  <c r="I459" i="1"/>
  <c r="G459" i="1"/>
  <c r="E459" i="1"/>
  <c r="I458" i="1"/>
  <c r="G458" i="1"/>
  <c r="E458" i="1"/>
  <c r="I457" i="1"/>
  <c r="G457" i="1"/>
  <c r="E457" i="1"/>
  <c r="I456" i="1"/>
  <c r="G456" i="1"/>
  <c r="E456" i="1"/>
  <c r="I455" i="1"/>
  <c r="G455" i="1"/>
  <c r="E455" i="1"/>
  <c r="I454" i="1"/>
  <c r="G454" i="1"/>
  <c r="E454" i="1"/>
  <c r="I453" i="1"/>
  <c r="G453" i="1"/>
  <c r="E453" i="1"/>
  <c r="I452" i="1"/>
  <c r="G452" i="1"/>
  <c r="E452" i="1"/>
  <c r="I451" i="1"/>
  <c r="G451" i="1"/>
  <c r="E451" i="1"/>
  <c r="I450" i="1"/>
  <c r="G450" i="1"/>
  <c r="E450" i="1"/>
  <c r="I449" i="1"/>
  <c r="G449" i="1"/>
  <c r="E449" i="1"/>
  <c r="I448" i="1"/>
  <c r="G448" i="1"/>
  <c r="E448" i="1"/>
  <c r="I447" i="1"/>
  <c r="G447" i="1"/>
  <c r="E447" i="1"/>
  <c r="I446" i="1"/>
  <c r="G446" i="1"/>
  <c r="E446" i="1"/>
  <c r="I445" i="1"/>
  <c r="G445" i="1"/>
  <c r="E445" i="1"/>
  <c r="I444" i="1"/>
  <c r="G444" i="1"/>
  <c r="E444" i="1"/>
  <c r="I443" i="1"/>
  <c r="G443" i="1"/>
  <c r="E443" i="1"/>
  <c r="I442" i="1"/>
  <c r="G442" i="1"/>
  <c r="E442" i="1"/>
  <c r="I441" i="1"/>
  <c r="G441" i="1"/>
  <c r="E441" i="1"/>
  <c r="I440" i="1"/>
  <c r="G440" i="1"/>
  <c r="E440" i="1"/>
  <c r="I439" i="1"/>
  <c r="G439" i="1"/>
  <c r="E439" i="1"/>
  <c r="I438" i="1"/>
  <c r="G438" i="1"/>
  <c r="E438" i="1"/>
  <c r="I437" i="1"/>
  <c r="G437" i="1"/>
  <c r="E437" i="1"/>
  <c r="I436" i="1"/>
  <c r="G436" i="1"/>
  <c r="E436" i="1"/>
  <c r="I435" i="1"/>
  <c r="G435" i="1"/>
  <c r="E435" i="1"/>
  <c r="I434" i="1"/>
  <c r="G434" i="1"/>
  <c r="E434" i="1"/>
  <c r="I433" i="1"/>
  <c r="G433" i="1"/>
  <c r="E433" i="1"/>
  <c r="I432" i="1"/>
  <c r="G432" i="1"/>
  <c r="E432" i="1"/>
  <c r="I431" i="1"/>
  <c r="G431" i="1"/>
  <c r="E431" i="1"/>
  <c r="I430" i="1"/>
  <c r="G430" i="1"/>
  <c r="E430" i="1"/>
  <c r="I429" i="1"/>
  <c r="G429" i="1"/>
  <c r="E429" i="1"/>
  <c r="I428" i="1"/>
  <c r="G428" i="1"/>
  <c r="E428" i="1"/>
  <c r="I427" i="1"/>
  <c r="G427" i="1"/>
  <c r="E427" i="1"/>
  <c r="I426" i="1"/>
  <c r="G426" i="1"/>
  <c r="E426" i="1"/>
  <c r="I425" i="1"/>
  <c r="G425" i="1"/>
  <c r="E425" i="1"/>
  <c r="I424" i="1"/>
  <c r="G424" i="1"/>
  <c r="E424" i="1"/>
  <c r="I423" i="1"/>
  <c r="G423" i="1"/>
  <c r="E423" i="1"/>
  <c r="I422" i="1"/>
  <c r="G422" i="1"/>
  <c r="E422" i="1"/>
  <c r="I421" i="1"/>
  <c r="G421" i="1"/>
  <c r="E421" i="1"/>
  <c r="I420" i="1"/>
  <c r="G420" i="1"/>
  <c r="E420" i="1"/>
  <c r="I419" i="1"/>
  <c r="G419" i="1"/>
  <c r="E419" i="1"/>
  <c r="I418" i="1"/>
  <c r="G418" i="1"/>
  <c r="E418" i="1"/>
  <c r="I417" i="1"/>
  <c r="G417" i="1"/>
  <c r="E417" i="1"/>
  <c r="I416" i="1"/>
  <c r="G416" i="1"/>
  <c r="E416" i="1"/>
  <c r="I415" i="1"/>
  <c r="G415" i="1"/>
  <c r="E415" i="1"/>
  <c r="I414" i="1"/>
  <c r="G414" i="1"/>
  <c r="E414" i="1"/>
  <c r="I413" i="1"/>
  <c r="G413" i="1"/>
  <c r="E413" i="1"/>
  <c r="I412" i="1"/>
  <c r="G412" i="1"/>
  <c r="E412" i="1"/>
  <c r="I411" i="1"/>
  <c r="G411" i="1"/>
  <c r="E411" i="1"/>
  <c r="I410" i="1"/>
  <c r="G410" i="1"/>
  <c r="E410" i="1"/>
  <c r="I409" i="1"/>
  <c r="G409" i="1"/>
  <c r="E409" i="1"/>
  <c r="I408" i="1"/>
  <c r="G408" i="1"/>
  <c r="E408" i="1"/>
  <c r="I407" i="1"/>
  <c r="G407" i="1"/>
  <c r="E407" i="1"/>
  <c r="I406" i="1"/>
  <c r="G406" i="1"/>
  <c r="E406" i="1"/>
  <c r="I405" i="1"/>
  <c r="G405" i="1"/>
  <c r="E405" i="1"/>
  <c r="I404" i="1"/>
  <c r="G404" i="1"/>
  <c r="E404" i="1"/>
  <c r="I403" i="1"/>
  <c r="G403" i="1"/>
  <c r="E403" i="1"/>
  <c r="I402" i="1"/>
  <c r="G402" i="1"/>
  <c r="E402" i="1"/>
  <c r="I401" i="1"/>
  <c r="G401" i="1"/>
  <c r="E401" i="1"/>
  <c r="I400" i="1"/>
  <c r="G400" i="1"/>
  <c r="E400" i="1"/>
  <c r="I399" i="1"/>
  <c r="G399" i="1"/>
  <c r="E399" i="1"/>
  <c r="I398" i="1"/>
  <c r="G398" i="1"/>
  <c r="E398" i="1"/>
  <c r="I397" i="1"/>
  <c r="G397" i="1"/>
  <c r="E397" i="1"/>
  <c r="I396" i="1"/>
  <c r="G396" i="1"/>
  <c r="E396" i="1"/>
  <c r="I395" i="1"/>
  <c r="G395" i="1"/>
  <c r="E395" i="1"/>
  <c r="I394" i="1"/>
  <c r="G394" i="1"/>
  <c r="E394" i="1"/>
  <c r="I393" i="1"/>
  <c r="G393" i="1"/>
  <c r="E393" i="1"/>
  <c r="I392" i="1"/>
  <c r="G392" i="1"/>
  <c r="E392" i="1"/>
  <c r="I391" i="1"/>
  <c r="G391" i="1"/>
  <c r="E391" i="1"/>
  <c r="I390" i="1"/>
  <c r="G390" i="1"/>
  <c r="E390" i="1"/>
  <c r="I389" i="1"/>
  <c r="G389" i="1"/>
  <c r="E389" i="1"/>
  <c r="I388" i="1"/>
  <c r="G388" i="1"/>
  <c r="E388" i="1"/>
  <c r="I387" i="1"/>
  <c r="G387" i="1"/>
  <c r="E387" i="1"/>
  <c r="I386" i="1"/>
  <c r="G386" i="1"/>
  <c r="E386" i="1"/>
  <c r="I385" i="1"/>
  <c r="G385" i="1"/>
  <c r="E385" i="1"/>
  <c r="I384" i="1"/>
  <c r="G384" i="1"/>
  <c r="E384" i="1"/>
  <c r="I383" i="1"/>
  <c r="G383" i="1"/>
  <c r="E383" i="1"/>
  <c r="I382" i="1"/>
  <c r="G382" i="1"/>
  <c r="E382" i="1"/>
  <c r="I381" i="1"/>
  <c r="G381" i="1"/>
  <c r="E381" i="1"/>
  <c r="I380" i="1"/>
  <c r="G380" i="1"/>
  <c r="E380" i="1"/>
  <c r="I379" i="1"/>
  <c r="G379" i="1"/>
  <c r="E379" i="1"/>
  <c r="I378" i="1"/>
  <c r="G378" i="1"/>
  <c r="E378" i="1"/>
  <c r="I377" i="1"/>
  <c r="G377" i="1"/>
  <c r="E377" i="1"/>
  <c r="I376" i="1"/>
  <c r="G376" i="1"/>
  <c r="E376" i="1"/>
  <c r="I375" i="1"/>
  <c r="G375" i="1"/>
  <c r="E375" i="1"/>
  <c r="I374" i="1"/>
  <c r="G374" i="1"/>
  <c r="E374" i="1"/>
  <c r="I373" i="1"/>
  <c r="G373" i="1"/>
  <c r="E373" i="1"/>
  <c r="I372" i="1"/>
  <c r="G372" i="1"/>
  <c r="E372" i="1"/>
  <c r="I371" i="1"/>
  <c r="G371" i="1"/>
  <c r="E371" i="1"/>
  <c r="I370" i="1"/>
  <c r="G370" i="1"/>
  <c r="E370" i="1"/>
  <c r="I369" i="1"/>
  <c r="G369" i="1"/>
  <c r="E369" i="1"/>
  <c r="I368" i="1"/>
  <c r="G368" i="1"/>
  <c r="E368" i="1"/>
  <c r="I367" i="1"/>
  <c r="G367" i="1"/>
  <c r="E367" i="1"/>
  <c r="I366" i="1"/>
  <c r="G366" i="1"/>
  <c r="E366" i="1"/>
  <c r="I365" i="1"/>
  <c r="G365" i="1"/>
  <c r="E365" i="1"/>
  <c r="I364" i="1"/>
  <c r="G364" i="1"/>
  <c r="E364" i="1"/>
  <c r="I363" i="1"/>
  <c r="G363" i="1"/>
  <c r="E363" i="1"/>
  <c r="I362" i="1"/>
  <c r="G362" i="1"/>
  <c r="E362" i="1"/>
  <c r="I361" i="1"/>
  <c r="G361" i="1"/>
  <c r="E361" i="1"/>
  <c r="I360" i="1"/>
  <c r="G360" i="1"/>
  <c r="E360" i="1"/>
  <c r="I359" i="1"/>
  <c r="G359" i="1"/>
  <c r="E359" i="1"/>
  <c r="I358" i="1"/>
  <c r="G358" i="1"/>
  <c r="E358" i="1"/>
  <c r="I357" i="1"/>
  <c r="G357" i="1"/>
  <c r="E357" i="1"/>
  <c r="I356" i="1"/>
  <c r="G356" i="1"/>
  <c r="E356" i="1"/>
  <c r="I355" i="1"/>
  <c r="G355" i="1"/>
  <c r="E355" i="1"/>
  <c r="I354" i="1"/>
  <c r="G354" i="1"/>
  <c r="E354" i="1"/>
  <c r="I353" i="1"/>
  <c r="G353" i="1"/>
  <c r="E353" i="1"/>
  <c r="I352" i="1"/>
  <c r="G352" i="1"/>
  <c r="E352" i="1"/>
  <c r="I351" i="1"/>
  <c r="G351" i="1"/>
  <c r="E351" i="1"/>
  <c r="I350" i="1"/>
  <c r="G350" i="1"/>
  <c r="E350" i="1"/>
  <c r="I349" i="1"/>
  <c r="G349" i="1"/>
  <c r="E349" i="1"/>
  <c r="I348" i="1"/>
  <c r="G348" i="1"/>
  <c r="E348" i="1"/>
  <c r="I347" i="1"/>
  <c r="G347" i="1"/>
  <c r="E347" i="1"/>
  <c r="I346" i="1"/>
  <c r="G346" i="1"/>
  <c r="E346" i="1"/>
  <c r="I345" i="1"/>
  <c r="G345" i="1"/>
  <c r="E345" i="1"/>
  <c r="I344" i="1"/>
  <c r="G344" i="1"/>
  <c r="E344" i="1"/>
  <c r="I343" i="1"/>
  <c r="G343" i="1"/>
  <c r="E343" i="1"/>
  <c r="I342" i="1"/>
  <c r="G342" i="1"/>
  <c r="E342" i="1"/>
  <c r="I341" i="1"/>
  <c r="G341" i="1"/>
  <c r="E341" i="1"/>
  <c r="I340" i="1"/>
  <c r="G340" i="1"/>
  <c r="E340" i="1"/>
  <c r="I339" i="1"/>
  <c r="G339" i="1"/>
  <c r="E339" i="1"/>
  <c r="I338" i="1"/>
  <c r="G338" i="1"/>
  <c r="E338" i="1"/>
  <c r="I337" i="1"/>
  <c r="G337" i="1"/>
  <c r="E337" i="1"/>
  <c r="I336" i="1"/>
  <c r="G336" i="1"/>
  <c r="E336" i="1"/>
  <c r="I335" i="1"/>
  <c r="G335" i="1"/>
  <c r="E335" i="1"/>
  <c r="I334" i="1"/>
  <c r="G334" i="1"/>
  <c r="E334" i="1"/>
  <c r="I333" i="1"/>
  <c r="G333" i="1"/>
  <c r="E333" i="1"/>
  <c r="I332" i="1"/>
  <c r="G332" i="1"/>
  <c r="E332" i="1"/>
  <c r="I331" i="1"/>
  <c r="G331" i="1"/>
  <c r="E331" i="1"/>
  <c r="I330" i="1"/>
  <c r="G330" i="1"/>
  <c r="E330" i="1"/>
  <c r="I329" i="1"/>
  <c r="G329" i="1"/>
  <c r="E329" i="1"/>
  <c r="I328" i="1"/>
  <c r="G328" i="1"/>
  <c r="E328" i="1"/>
  <c r="I327" i="1"/>
  <c r="G327" i="1"/>
  <c r="E327" i="1"/>
  <c r="I326" i="1"/>
  <c r="G326" i="1"/>
  <c r="E326" i="1"/>
  <c r="I325" i="1"/>
  <c r="G325" i="1"/>
  <c r="E325" i="1"/>
  <c r="I324" i="1"/>
  <c r="G324" i="1"/>
  <c r="E324" i="1"/>
  <c r="I323" i="1"/>
  <c r="G323" i="1"/>
  <c r="E323" i="1"/>
  <c r="I322" i="1"/>
  <c r="G322" i="1"/>
  <c r="E322" i="1"/>
  <c r="I321" i="1"/>
  <c r="G321" i="1"/>
  <c r="E321" i="1"/>
  <c r="I320" i="1"/>
  <c r="G320" i="1"/>
  <c r="E320" i="1"/>
  <c r="I319" i="1"/>
  <c r="G319" i="1"/>
  <c r="E319" i="1"/>
  <c r="I318" i="1"/>
  <c r="G318" i="1"/>
  <c r="E318" i="1"/>
  <c r="I317" i="1"/>
  <c r="G317" i="1"/>
  <c r="E317" i="1"/>
  <c r="I316" i="1"/>
  <c r="G316" i="1"/>
  <c r="E316" i="1"/>
  <c r="I315" i="1"/>
  <c r="G315" i="1"/>
  <c r="E315" i="1"/>
  <c r="I314" i="1"/>
  <c r="G314" i="1"/>
  <c r="E314" i="1"/>
  <c r="I313" i="1"/>
  <c r="G313" i="1"/>
  <c r="E313" i="1"/>
  <c r="I312" i="1"/>
  <c r="G312" i="1"/>
  <c r="E312" i="1"/>
  <c r="I311" i="1"/>
  <c r="G311" i="1"/>
  <c r="E311" i="1"/>
  <c r="I310" i="1"/>
  <c r="G310" i="1"/>
  <c r="E310" i="1"/>
  <c r="I309" i="1"/>
  <c r="G309" i="1"/>
  <c r="E309" i="1"/>
  <c r="I308" i="1"/>
  <c r="G308" i="1"/>
  <c r="E308" i="1"/>
  <c r="I307" i="1"/>
  <c r="G307" i="1"/>
  <c r="E307" i="1"/>
  <c r="I306" i="1"/>
  <c r="G306" i="1"/>
  <c r="E306" i="1"/>
  <c r="I305" i="1"/>
  <c r="G305" i="1"/>
  <c r="E305" i="1"/>
  <c r="I304" i="1"/>
  <c r="G304" i="1"/>
  <c r="E304" i="1"/>
  <c r="I303" i="1"/>
  <c r="G303" i="1"/>
  <c r="E303" i="1"/>
  <c r="I302" i="1"/>
  <c r="G302" i="1"/>
  <c r="E302" i="1"/>
  <c r="I301" i="1"/>
  <c r="G301" i="1"/>
  <c r="E301" i="1"/>
  <c r="I300" i="1"/>
  <c r="G300" i="1"/>
  <c r="E300" i="1"/>
  <c r="I299" i="1"/>
  <c r="G299" i="1"/>
  <c r="E299" i="1"/>
  <c r="I298" i="1"/>
  <c r="G298" i="1"/>
  <c r="E298" i="1"/>
  <c r="I297" i="1"/>
  <c r="G297" i="1"/>
  <c r="E297" i="1"/>
  <c r="I296" i="1"/>
  <c r="G296" i="1"/>
  <c r="E296" i="1"/>
  <c r="I295" i="1"/>
  <c r="G295" i="1"/>
  <c r="E295" i="1"/>
  <c r="I294" i="1"/>
  <c r="G294" i="1"/>
  <c r="E294" i="1"/>
  <c r="I293" i="1"/>
  <c r="G293" i="1"/>
  <c r="E293" i="1"/>
  <c r="I292" i="1"/>
  <c r="G292" i="1"/>
  <c r="E292" i="1"/>
  <c r="I291" i="1"/>
  <c r="G291" i="1"/>
  <c r="E291" i="1"/>
  <c r="I290" i="1"/>
  <c r="G290" i="1"/>
  <c r="E290" i="1"/>
  <c r="I289" i="1"/>
  <c r="G289" i="1"/>
  <c r="E289" i="1"/>
  <c r="I288" i="1"/>
  <c r="G288" i="1"/>
  <c r="E288" i="1"/>
  <c r="I287" i="1"/>
  <c r="G287" i="1"/>
  <c r="E287" i="1"/>
  <c r="I286" i="1"/>
  <c r="G286" i="1"/>
  <c r="E286" i="1"/>
  <c r="I285" i="1"/>
  <c r="G285" i="1"/>
  <c r="E285" i="1"/>
  <c r="I284" i="1"/>
  <c r="G284" i="1"/>
  <c r="E284" i="1"/>
  <c r="I283" i="1"/>
  <c r="G283" i="1"/>
  <c r="E283" i="1"/>
  <c r="I282" i="1"/>
  <c r="G282" i="1"/>
  <c r="E282" i="1"/>
  <c r="I281" i="1"/>
  <c r="G281" i="1"/>
  <c r="E281" i="1"/>
  <c r="I280" i="1"/>
  <c r="G280" i="1"/>
  <c r="E280" i="1"/>
  <c r="I279" i="1"/>
  <c r="G279" i="1"/>
  <c r="E279" i="1"/>
  <c r="I278" i="1"/>
  <c r="G278" i="1"/>
  <c r="E278" i="1"/>
  <c r="I277" i="1"/>
  <c r="G277" i="1"/>
  <c r="E277" i="1"/>
  <c r="I276" i="1"/>
  <c r="G276" i="1"/>
  <c r="E276" i="1"/>
  <c r="I275" i="1"/>
  <c r="G275" i="1"/>
  <c r="E275" i="1"/>
  <c r="I274" i="1"/>
  <c r="G274" i="1"/>
  <c r="E274" i="1"/>
  <c r="I273" i="1"/>
  <c r="G273" i="1"/>
  <c r="E273" i="1"/>
  <c r="I272" i="1"/>
  <c r="G272" i="1"/>
  <c r="E272" i="1"/>
  <c r="I271" i="1"/>
  <c r="G271" i="1"/>
  <c r="E271" i="1"/>
  <c r="I270" i="1"/>
  <c r="G270" i="1"/>
  <c r="E270" i="1"/>
  <c r="I269" i="1"/>
  <c r="G269" i="1"/>
  <c r="E269" i="1"/>
  <c r="I268" i="1"/>
  <c r="G268" i="1"/>
  <c r="E268" i="1"/>
  <c r="I267" i="1"/>
  <c r="G267" i="1"/>
  <c r="E267" i="1"/>
  <c r="I266" i="1"/>
  <c r="G266" i="1"/>
  <c r="E266" i="1"/>
  <c r="I265" i="1"/>
  <c r="G265" i="1"/>
  <c r="E265" i="1"/>
  <c r="I264" i="1"/>
  <c r="G264" i="1"/>
  <c r="E264" i="1"/>
  <c r="I263" i="1"/>
  <c r="G263" i="1"/>
  <c r="E263" i="1"/>
  <c r="I262" i="1"/>
  <c r="G262" i="1"/>
  <c r="E262" i="1"/>
  <c r="I261" i="1"/>
  <c r="G261" i="1"/>
  <c r="E261" i="1"/>
  <c r="I260" i="1"/>
  <c r="G260" i="1"/>
  <c r="E260" i="1"/>
  <c r="I259" i="1"/>
  <c r="G259" i="1"/>
  <c r="E259" i="1"/>
  <c r="I258" i="1"/>
  <c r="G258" i="1"/>
  <c r="E258" i="1"/>
  <c r="I257" i="1"/>
  <c r="G257" i="1"/>
  <c r="E257" i="1"/>
  <c r="I256" i="1"/>
  <c r="G256" i="1"/>
  <c r="E256" i="1"/>
  <c r="I255" i="1"/>
  <c r="G255" i="1"/>
  <c r="E255" i="1"/>
  <c r="I254" i="1"/>
  <c r="G254" i="1"/>
  <c r="E254" i="1"/>
  <c r="I253" i="1"/>
  <c r="G253" i="1"/>
  <c r="E253" i="1"/>
  <c r="I252" i="1"/>
  <c r="G252" i="1"/>
  <c r="E252" i="1"/>
  <c r="I251" i="1"/>
  <c r="G251" i="1"/>
  <c r="E251" i="1"/>
  <c r="I250" i="1"/>
  <c r="G250" i="1"/>
  <c r="E250" i="1"/>
  <c r="I249" i="1"/>
  <c r="G249" i="1"/>
  <c r="E249" i="1"/>
  <c r="I248" i="1"/>
  <c r="G248" i="1"/>
  <c r="E248" i="1"/>
  <c r="I247" i="1"/>
  <c r="G247" i="1"/>
  <c r="E247" i="1"/>
  <c r="I246" i="1"/>
  <c r="G246" i="1"/>
  <c r="E246" i="1"/>
  <c r="I245" i="1"/>
  <c r="G245" i="1"/>
  <c r="E245" i="1"/>
  <c r="I244" i="1"/>
  <c r="G244" i="1"/>
  <c r="E244" i="1"/>
  <c r="I243" i="1"/>
  <c r="G243" i="1"/>
  <c r="E243" i="1"/>
  <c r="I242" i="1"/>
  <c r="G242" i="1"/>
  <c r="E242" i="1"/>
  <c r="I241" i="1"/>
  <c r="G241" i="1"/>
  <c r="E241" i="1"/>
  <c r="I240" i="1"/>
  <c r="G240" i="1"/>
  <c r="E240" i="1"/>
  <c r="I239" i="1"/>
  <c r="G239" i="1"/>
  <c r="E239" i="1"/>
  <c r="I238" i="1"/>
  <c r="G238" i="1"/>
  <c r="E238" i="1"/>
  <c r="I237" i="1"/>
  <c r="G237" i="1"/>
  <c r="E237" i="1"/>
  <c r="I236" i="1"/>
  <c r="G236" i="1"/>
  <c r="E236" i="1"/>
  <c r="I235" i="1"/>
  <c r="G235" i="1"/>
  <c r="E235" i="1"/>
  <c r="I234" i="1"/>
  <c r="G234" i="1"/>
  <c r="E234" i="1"/>
  <c r="I233" i="1"/>
  <c r="G233" i="1"/>
  <c r="E233" i="1"/>
  <c r="I232" i="1"/>
  <c r="G232" i="1"/>
  <c r="E232" i="1"/>
  <c r="I231" i="1"/>
  <c r="G231" i="1"/>
  <c r="E231" i="1"/>
  <c r="I230" i="1"/>
  <c r="G230" i="1"/>
  <c r="E230" i="1"/>
  <c r="I229" i="1"/>
  <c r="G229" i="1"/>
  <c r="E229" i="1"/>
  <c r="I228" i="1"/>
  <c r="G228" i="1"/>
  <c r="E228" i="1"/>
  <c r="I227" i="1"/>
  <c r="G227" i="1"/>
  <c r="E227" i="1"/>
  <c r="I226" i="1"/>
  <c r="G226" i="1"/>
  <c r="E226" i="1"/>
  <c r="I225" i="1"/>
  <c r="G225" i="1"/>
  <c r="E225" i="1"/>
  <c r="I224" i="1"/>
  <c r="G224" i="1"/>
  <c r="E224" i="1"/>
  <c r="I223" i="1"/>
  <c r="G223" i="1"/>
  <c r="E223" i="1"/>
  <c r="I222" i="1"/>
  <c r="G222" i="1"/>
  <c r="E222" i="1"/>
  <c r="I221" i="1"/>
  <c r="G221" i="1"/>
  <c r="E221" i="1"/>
  <c r="I220" i="1"/>
  <c r="G220" i="1"/>
  <c r="E220" i="1"/>
  <c r="I219" i="1"/>
  <c r="G219" i="1"/>
  <c r="E219" i="1"/>
  <c r="I218" i="1"/>
  <c r="G218" i="1"/>
  <c r="E218" i="1"/>
  <c r="I217" i="1"/>
  <c r="G217" i="1"/>
  <c r="E217" i="1"/>
  <c r="I216" i="1"/>
  <c r="G216" i="1"/>
  <c r="E216" i="1"/>
  <c r="I215" i="1"/>
  <c r="G215" i="1"/>
  <c r="E215" i="1"/>
  <c r="I214" i="1"/>
  <c r="G214" i="1"/>
  <c r="E214" i="1"/>
  <c r="I213" i="1"/>
  <c r="G213" i="1"/>
  <c r="E213" i="1"/>
  <c r="I212" i="1"/>
  <c r="G212" i="1"/>
  <c r="E212" i="1"/>
  <c r="I211" i="1"/>
  <c r="G211" i="1"/>
  <c r="E211" i="1"/>
  <c r="I210" i="1"/>
  <c r="G210" i="1"/>
  <c r="E210" i="1"/>
  <c r="I209" i="1"/>
  <c r="G209" i="1"/>
  <c r="E209" i="1"/>
  <c r="I208" i="1"/>
  <c r="G208" i="1"/>
  <c r="E208" i="1"/>
  <c r="I207" i="1"/>
  <c r="G207" i="1"/>
  <c r="E207" i="1"/>
  <c r="I206" i="1"/>
  <c r="G206" i="1"/>
  <c r="E206" i="1"/>
  <c r="I205" i="1"/>
  <c r="G205" i="1"/>
  <c r="E205" i="1"/>
  <c r="I204" i="1"/>
  <c r="G204" i="1"/>
  <c r="E204" i="1"/>
  <c r="I203" i="1"/>
  <c r="G203" i="1"/>
  <c r="E203" i="1"/>
  <c r="I202" i="1"/>
  <c r="G202" i="1"/>
  <c r="E202" i="1"/>
  <c r="I201" i="1"/>
  <c r="G201" i="1"/>
  <c r="E201" i="1"/>
  <c r="I200" i="1"/>
  <c r="G200" i="1"/>
  <c r="E200" i="1"/>
  <c r="I199" i="1"/>
  <c r="G199" i="1"/>
  <c r="E199" i="1"/>
  <c r="I198" i="1"/>
  <c r="G198" i="1"/>
  <c r="E198" i="1"/>
  <c r="I197" i="1"/>
  <c r="G197" i="1"/>
  <c r="E197" i="1"/>
  <c r="I196" i="1"/>
  <c r="G196" i="1"/>
  <c r="E196" i="1"/>
  <c r="I195" i="1"/>
  <c r="G195" i="1"/>
  <c r="E195" i="1"/>
  <c r="I194" i="1"/>
  <c r="G194" i="1"/>
  <c r="E194" i="1"/>
  <c r="I193" i="1"/>
  <c r="G193" i="1"/>
  <c r="E193" i="1"/>
  <c r="I192" i="1"/>
  <c r="G192" i="1"/>
  <c r="E192" i="1"/>
  <c r="I191" i="1"/>
  <c r="G191" i="1"/>
  <c r="E191" i="1"/>
  <c r="I190" i="1"/>
  <c r="G190" i="1"/>
  <c r="E190" i="1"/>
  <c r="I189" i="1"/>
  <c r="G189" i="1"/>
  <c r="E189" i="1"/>
  <c r="I188" i="1"/>
  <c r="G188" i="1"/>
  <c r="E188" i="1"/>
  <c r="I187" i="1"/>
  <c r="G187" i="1"/>
  <c r="E187" i="1"/>
  <c r="I186" i="1"/>
  <c r="G186" i="1"/>
  <c r="E186" i="1"/>
  <c r="I185" i="1"/>
  <c r="G185" i="1"/>
  <c r="E185" i="1"/>
  <c r="I184" i="1"/>
  <c r="G184" i="1"/>
  <c r="E184" i="1"/>
  <c r="I183" i="1"/>
  <c r="G183" i="1"/>
  <c r="E183" i="1"/>
  <c r="I182" i="1"/>
  <c r="G182" i="1"/>
  <c r="E182" i="1"/>
  <c r="I181" i="1"/>
  <c r="G181" i="1"/>
  <c r="E181" i="1"/>
  <c r="I180" i="1"/>
  <c r="G180" i="1"/>
  <c r="E180" i="1"/>
  <c r="I179" i="1"/>
  <c r="G179" i="1"/>
  <c r="E179" i="1"/>
  <c r="I178" i="1"/>
  <c r="G178" i="1"/>
  <c r="E178" i="1"/>
  <c r="I177" i="1"/>
  <c r="G177" i="1"/>
  <c r="E177" i="1"/>
  <c r="I176" i="1"/>
  <c r="G176" i="1"/>
  <c r="E176" i="1"/>
  <c r="I175" i="1"/>
  <c r="G175" i="1"/>
  <c r="E175" i="1"/>
  <c r="I174" i="1"/>
  <c r="G174" i="1"/>
  <c r="E174" i="1"/>
  <c r="I173" i="1"/>
  <c r="G173" i="1"/>
  <c r="E173" i="1"/>
  <c r="I172" i="1"/>
  <c r="G172" i="1"/>
  <c r="E172" i="1"/>
  <c r="I171" i="1"/>
  <c r="G171" i="1"/>
  <c r="E171" i="1"/>
  <c r="I170" i="1"/>
  <c r="G170" i="1"/>
  <c r="E170" i="1"/>
  <c r="I169" i="1"/>
  <c r="G169" i="1"/>
  <c r="E169" i="1"/>
  <c r="I168" i="1"/>
  <c r="G168" i="1"/>
  <c r="E168" i="1"/>
  <c r="I167" i="1"/>
  <c r="G167" i="1"/>
  <c r="E167" i="1"/>
  <c r="I166" i="1"/>
  <c r="G166" i="1"/>
  <c r="E166" i="1"/>
  <c r="I165" i="1"/>
  <c r="G165" i="1"/>
  <c r="E165" i="1"/>
  <c r="I164" i="1"/>
  <c r="G164" i="1"/>
  <c r="E164" i="1"/>
  <c r="I163" i="1"/>
  <c r="G163" i="1"/>
  <c r="E163" i="1"/>
  <c r="I162" i="1"/>
  <c r="G162" i="1"/>
  <c r="E162" i="1"/>
  <c r="I161" i="1"/>
  <c r="G161" i="1"/>
  <c r="E161" i="1"/>
  <c r="I160" i="1"/>
  <c r="G160" i="1"/>
  <c r="E160" i="1"/>
  <c r="I159" i="1"/>
  <c r="G159" i="1"/>
  <c r="E159" i="1"/>
  <c r="I158" i="1"/>
  <c r="G158" i="1"/>
  <c r="E158" i="1"/>
  <c r="I157" i="1"/>
  <c r="G157" i="1"/>
  <c r="E157" i="1"/>
  <c r="I156" i="1"/>
  <c r="G156" i="1"/>
  <c r="E156" i="1"/>
  <c r="I155" i="1"/>
  <c r="G155" i="1"/>
  <c r="E155" i="1"/>
  <c r="I154" i="1"/>
  <c r="G154" i="1"/>
  <c r="E154" i="1"/>
  <c r="I153" i="1"/>
  <c r="G153" i="1"/>
  <c r="E153" i="1"/>
  <c r="I152" i="1"/>
  <c r="G152" i="1"/>
  <c r="E152" i="1"/>
  <c r="I151" i="1"/>
  <c r="G151" i="1"/>
  <c r="E151" i="1"/>
  <c r="I150" i="1"/>
  <c r="G150" i="1"/>
  <c r="E150" i="1"/>
  <c r="I149" i="1"/>
  <c r="G149" i="1"/>
  <c r="E149" i="1"/>
  <c r="I148" i="1"/>
  <c r="G148" i="1"/>
  <c r="E148" i="1"/>
  <c r="I147" i="1"/>
  <c r="G147" i="1"/>
  <c r="E147" i="1"/>
  <c r="I146" i="1"/>
  <c r="G146" i="1"/>
  <c r="E146" i="1"/>
  <c r="I145" i="1"/>
  <c r="G145" i="1"/>
  <c r="E145" i="1"/>
  <c r="I144" i="1"/>
  <c r="G144" i="1"/>
  <c r="E144" i="1"/>
  <c r="I143" i="1"/>
  <c r="G143" i="1"/>
  <c r="E143" i="1"/>
  <c r="I142" i="1"/>
  <c r="G142" i="1"/>
  <c r="E142" i="1"/>
  <c r="I141" i="1"/>
  <c r="G141" i="1"/>
  <c r="E141" i="1"/>
  <c r="I140" i="1"/>
  <c r="G140" i="1"/>
  <c r="E140" i="1"/>
  <c r="I139" i="1"/>
  <c r="G139" i="1"/>
  <c r="E139" i="1"/>
  <c r="I138" i="1"/>
  <c r="G138" i="1"/>
  <c r="E138" i="1"/>
  <c r="I137" i="1"/>
  <c r="G137" i="1"/>
  <c r="E137" i="1"/>
  <c r="I136" i="1"/>
  <c r="G136" i="1"/>
  <c r="E136" i="1"/>
  <c r="I135" i="1"/>
  <c r="G135" i="1"/>
  <c r="E135" i="1"/>
  <c r="I134" i="1"/>
  <c r="G134" i="1"/>
  <c r="E134" i="1"/>
  <c r="I133" i="1"/>
  <c r="G133" i="1"/>
  <c r="E133" i="1"/>
  <c r="I132" i="1"/>
  <c r="G132" i="1"/>
  <c r="E132" i="1"/>
  <c r="I131" i="1"/>
  <c r="G131" i="1"/>
  <c r="E131" i="1"/>
  <c r="I130" i="1"/>
  <c r="G130" i="1"/>
  <c r="E130" i="1"/>
  <c r="I129" i="1"/>
  <c r="G129" i="1"/>
  <c r="E129" i="1"/>
  <c r="I128" i="1"/>
  <c r="G128" i="1"/>
  <c r="E128" i="1"/>
  <c r="I127" i="1"/>
  <c r="G127" i="1"/>
  <c r="E127" i="1"/>
  <c r="I126" i="1"/>
  <c r="G126" i="1"/>
  <c r="E126" i="1"/>
  <c r="I125" i="1"/>
  <c r="G125" i="1"/>
  <c r="E125" i="1"/>
  <c r="I124" i="1"/>
  <c r="G124" i="1"/>
  <c r="E124" i="1"/>
  <c r="I123" i="1"/>
  <c r="G123" i="1"/>
  <c r="E123" i="1"/>
  <c r="I122" i="1"/>
  <c r="G122" i="1"/>
  <c r="E122" i="1"/>
  <c r="I121" i="1"/>
  <c r="G121" i="1"/>
  <c r="E121" i="1"/>
  <c r="I120" i="1"/>
  <c r="G120" i="1"/>
  <c r="E120" i="1"/>
  <c r="I119" i="1"/>
  <c r="G119" i="1"/>
  <c r="E119" i="1"/>
  <c r="I118" i="1"/>
  <c r="G118" i="1"/>
  <c r="E118" i="1"/>
  <c r="I117" i="1"/>
  <c r="G117" i="1"/>
  <c r="E117" i="1"/>
  <c r="I116" i="1"/>
  <c r="G116" i="1"/>
  <c r="E116" i="1"/>
  <c r="I115" i="1"/>
  <c r="G115" i="1"/>
  <c r="E115" i="1"/>
  <c r="I114" i="1"/>
  <c r="G114" i="1"/>
  <c r="E114" i="1"/>
  <c r="I113" i="1"/>
  <c r="G113" i="1"/>
  <c r="E113" i="1"/>
  <c r="I112" i="1"/>
  <c r="G112" i="1"/>
  <c r="E112" i="1"/>
  <c r="I111" i="1"/>
  <c r="G111" i="1"/>
  <c r="E111" i="1"/>
  <c r="I110" i="1"/>
  <c r="G110" i="1"/>
  <c r="E110" i="1"/>
  <c r="I109" i="1"/>
  <c r="G109" i="1"/>
  <c r="E109" i="1"/>
  <c r="I108" i="1"/>
  <c r="G108" i="1"/>
  <c r="E108" i="1"/>
  <c r="I107" i="1"/>
  <c r="G107" i="1"/>
  <c r="E107" i="1"/>
  <c r="I106" i="1"/>
  <c r="G106" i="1"/>
  <c r="E106" i="1"/>
  <c r="I105" i="1"/>
  <c r="G105" i="1"/>
  <c r="E105" i="1"/>
  <c r="I104" i="1"/>
  <c r="G104" i="1"/>
  <c r="E104" i="1"/>
  <c r="I103" i="1"/>
  <c r="G103" i="1"/>
  <c r="E103" i="1"/>
  <c r="I102" i="1"/>
  <c r="G102" i="1"/>
  <c r="E102" i="1"/>
  <c r="I101" i="1"/>
  <c r="G101" i="1"/>
  <c r="E101" i="1"/>
  <c r="I100" i="1"/>
  <c r="G100" i="1"/>
  <c r="E100" i="1"/>
  <c r="I99" i="1"/>
  <c r="G99" i="1"/>
  <c r="E99" i="1"/>
  <c r="I98" i="1"/>
  <c r="G98" i="1"/>
  <c r="E98" i="1"/>
  <c r="I97" i="1"/>
  <c r="G97" i="1"/>
  <c r="E97" i="1"/>
  <c r="I96" i="1"/>
  <c r="G96" i="1"/>
  <c r="E96" i="1"/>
  <c r="I95" i="1"/>
  <c r="G95" i="1"/>
  <c r="E95" i="1"/>
  <c r="I94" i="1"/>
  <c r="G94" i="1"/>
  <c r="E94" i="1"/>
  <c r="I93" i="1"/>
  <c r="G93" i="1"/>
  <c r="E93" i="1"/>
  <c r="I92" i="1"/>
  <c r="G92" i="1"/>
  <c r="E92" i="1"/>
  <c r="I91" i="1"/>
  <c r="G91" i="1"/>
  <c r="E91" i="1"/>
  <c r="I90" i="1"/>
  <c r="G90" i="1"/>
  <c r="E90" i="1"/>
  <c r="I89" i="1"/>
  <c r="G89" i="1"/>
  <c r="E89" i="1"/>
  <c r="I88" i="1"/>
  <c r="G88" i="1"/>
  <c r="E88" i="1"/>
  <c r="I87" i="1"/>
  <c r="G87" i="1"/>
  <c r="E87" i="1"/>
  <c r="I86" i="1"/>
  <c r="G86" i="1"/>
  <c r="E86" i="1"/>
  <c r="I85" i="1"/>
  <c r="G85" i="1"/>
  <c r="E85" i="1"/>
  <c r="I84" i="1"/>
  <c r="G84" i="1"/>
  <c r="E84" i="1"/>
  <c r="I83" i="1"/>
  <c r="G83" i="1"/>
  <c r="E83" i="1"/>
  <c r="I82" i="1"/>
  <c r="G82" i="1"/>
  <c r="E82" i="1"/>
  <c r="I81" i="1"/>
  <c r="G81" i="1"/>
  <c r="E81" i="1"/>
  <c r="I80" i="1"/>
  <c r="G80" i="1"/>
  <c r="E80" i="1"/>
  <c r="I79" i="1"/>
  <c r="G79" i="1"/>
  <c r="E79" i="1"/>
  <c r="I78" i="1"/>
  <c r="G78" i="1"/>
  <c r="E78" i="1"/>
  <c r="I77" i="1"/>
  <c r="G77" i="1"/>
  <c r="E77" i="1"/>
  <c r="I76" i="1"/>
  <c r="G76" i="1"/>
  <c r="E76" i="1"/>
  <c r="I75" i="1"/>
  <c r="G75" i="1"/>
  <c r="E75" i="1"/>
  <c r="I74" i="1"/>
  <c r="G74" i="1"/>
  <c r="E74" i="1"/>
  <c r="I73" i="1"/>
  <c r="G73" i="1"/>
  <c r="E73" i="1"/>
  <c r="I72" i="1"/>
  <c r="G72" i="1"/>
  <c r="E72" i="1"/>
  <c r="I71" i="1"/>
  <c r="G71" i="1"/>
  <c r="E71" i="1"/>
  <c r="I70" i="1"/>
  <c r="G70" i="1"/>
  <c r="E70" i="1"/>
  <c r="I69" i="1"/>
  <c r="G69" i="1"/>
  <c r="E69" i="1"/>
  <c r="I68" i="1"/>
  <c r="G68" i="1"/>
  <c r="E68" i="1"/>
  <c r="I67" i="1"/>
  <c r="G67" i="1"/>
  <c r="E67" i="1"/>
  <c r="I66" i="1"/>
  <c r="G66" i="1"/>
  <c r="E66" i="1"/>
  <c r="I65" i="1"/>
  <c r="G65" i="1"/>
  <c r="E65" i="1"/>
  <c r="I64" i="1"/>
  <c r="G64" i="1"/>
  <c r="E64" i="1"/>
  <c r="I63" i="1"/>
  <c r="G63" i="1"/>
  <c r="E63" i="1"/>
  <c r="I62" i="1"/>
  <c r="G62" i="1"/>
  <c r="E62" i="1"/>
  <c r="I61" i="1"/>
  <c r="G61" i="1"/>
  <c r="E61" i="1"/>
  <c r="I60" i="1"/>
  <c r="G60" i="1"/>
  <c r="E60" i="1"/>
  <c r="I59" i="1"/>
  <c r="G59" i="1"/>
  <c r="E59" i="1"/>
  <c r="I58" i="1"/>
  <c r="G58" i="1"/>
  <c r="E58" i="1"/>
  <c r="I57" i="1"/>
  <c r="G57" i="1"/>
  <c r="E57" i="1"/>
  <c r="I56" i="1"/>
  <c r="G56" i="1"/>
  <c r="E56" i="1"/>
  <c r="I55" i="1"/>
  <c r="G55" i="1"/>
  <c r="E55" i="1"/>
  <c r="I54" i="1"/>
  <c r="G54" i="1"/>
  <c r="E54" i="1"/>
  <c r="I53" i="1"/>
  <c r="G53" i="1"/>
  <c r="E53" i="1"/>
  <c r="I52" i="1"/>
  <c r="G52" i="1"/>
  <c r="E52" i="1"/>
  <c r="I51" i="1"/>
  <c r="G51" i="1"/>
  <c r="E51" i="1"/>
  <c r="I50" i="1"/>
  <c r="G50" i="1"/>
  <c r="E50" i="1"/>
  <c r="I49" i="1"/>
  <c r="G49" i="1"/>
  <c r="E49" i="1"/>
  <c r="I48" i="1"/>
  <c r="G48" i="1"/>
  <c r="E48" i="1"/>
  <c r="I47" i="1"/>
  <c r="G47" i="1"/>
  <c r="E47" i="1"/>
  <c r="I46" i="1"/>
  <c r="G46" i="1"/>
  <c r="E46" i="1"/>
  <c r="I45" i="1"/>
  <c r="G45" i="1"/>
  <c r="E45" i="1"/>
  <c r="I44" i="1"/>
  <c r="G44" i="1"/>
  <c r="E44" i="1"/>
  <c r="I43" i="1"/>
  <c r="G43" i="1"/>
  <c r="E43" i="1"/>
  <c r="I42" i="1"/>
  <c r="G42" i="1"/>
  <c r="E42" i="1"/>
  <c r="I41" i="1"/>
  <c r="G41" i="1"/>
  <c r="E41" i="1"/>
  <c r="I40" i="1"/>
  <c r="G40" i="1"/>
  <c r="E40" i="1"/>
  <c r="I39" i="1"/>
  <c r="G39" i="1"/>
  <c r="E39" i="1"/>
  <c r="I38" i="1"/>
  <c r="G38" i="1"/>
  <c r="E38" i="1"/>
  <c r="I37" i="1"/>
  <c r="G37" i="1"/>
  <c r="E37" i="1"/>
  <c r="I36" i="1"/>
  <c r="G36" i="1"/>
  <c r="E36" i="1"/>
  <c r="I35" i="1"/>
  <c r="G35" i="1"/>
  <c r="E35" i="1"/>
  <c r="I34" i="1"/>
  <c r="G34" i="1"/>
  <c r="E34" i="1"/>
  <c r="I33" i="1"/>
  <c r="G33" i="1"/>
  <c r="E33" i="1"/>
  <c r="I32" i="1"/>
  <c r="G32" i="1"/>
  <c r="E32" i="1"/>
  <c r="I31" i="1"/>
  <c r="G31" i="1"/>
  <c r="E31" i="1"/>
  <c r="I30" i="1"/>
  <c r="G30" i="1"/>
  <c r="E30" i="1"/>
  <c r="I29" i="1"/>
  <c r="G29" i="1"/>
  <c r="E29" i="1"/>
  <c r="I28" i="1"/>
  <c r="G28" i="1"/>
  <c r="E28" i="1"/>
  <c r="I27" i="1"/>
  <c r="G27" i="1"/>
  <c r="E27" i="1"/>
  <c r="I26" i="1"/>
  <c r="G26" i="1"/>
  <c r="E26" i="1"/>
  <c r="I25" i="1"/>
  <c r="G25" i="1"/>
  <c r="E25" i="1"/>
  <c r="I24" i="1"/>
  <c r="G24" i="1"/>
  <c r="E24" i="1"/>
  <c r="I23" i="1"/>
  <c r="G23" i="1"/>
  <c r="E23" i="1"/>
  <c r="I22" i="1"/>
  <c r="G22" i="1"/>
  <c r="E22" i="1"/>
  <c r="I21" i="1"/>
  <c r="G21" i="1"/>
  <c r="E21" i="1"/>
  <c r="I20" i="1"/>
  <c r="G20" i="1"/>
  <c r="E20" i="1"/>
  <c r="I19" i="1"/>
  <c r="G19" i="1"/>
  <c r="E19" i="1"/>
  <c r="I18" i="1"/>
  <c r="G18" i="1"/>
  <c r="E18" i="1"/>
  <c r="I17" i="1"/>
  <c r="G17" i="1"/>
  <c r="E17" i="1"/>
  <c r="I16" i="1"/>
  <c r="G16" i="1"/>
  <c r="E16" i="1"/>
  <c r="I15" i="1"/>
  <c r="G15" i="1"/>
  <c r="E15" i="1"/>
  <c r="I14" i="1"/>
  <c r="G14" i="1"/>
  <c r="E14" i="1"/>
  <c r="I13" i="1"/>
  <c r="G13" i="1"/>
  <c r="E13" i="1"/>
  <c r="I12" i="1"/>
  <c r="G12" i="1"/>
  <c r="E12" i="1"/>
  <c r="I11" i="1"/>
  <c r="G11" i="1"/>
  <c r="E11" i="1"/>
  <c r="I10" i="1"/>
  <c r="G10" i="1"/>
  <c r="E10" i="1"/>
  <c r="I9" i="1"/>
  <c r="G9" i="1"/>
  <c r="E9" i="1"/>
  <c r="I8" i="1"/>
  <c r="G8" i="1"/>
  <c r="E8" i="1"/>
  <c r="I7" i="1"/>
  <c r="G7" i="1"/>
  <c r="E7" i="1"/>
  <c r="I6" i="1"/>
  <c r="G6" i="1"/>
  <c r="E6" i="1"/>
  <c r="I5" i="1"/>
  <c r="G5" i="1"/>
  <c r="E5" i="1"/>
  <c r="I4" i="1"/>
  <c r="G4" i="1"/>
  <c r="E4" i="1"/>
  <c r="I3" i="1"/>
  <c r="G3" i="1"/>
  <c r="E3" i="1"/>
  <c r="I2" i="1"/>
  <c r="G2" i="1"/>
  <c r="E2" i="1"/>
  <c r="B1079" i="1" l="1"/>
  <c r="B1083" i="1"/>
  <c r="J1082" i="1"/>
  <c r="J1081" i="1"/>
  <c r="J984" i="1"/>
  <c r="J988" i="1"/>
  <c r="J992" i="1"/>
  <c r="J996" i="1"/>
  <c r="J1000" i="1"/>
  <c r="J1004" i="1"/>
  <c r="J1008" i="1"/>
  <c r="J1012" i="1"/>
  <c r="J1016" i="1"/>
  <c r="J1020" i="1"/>
  <c r="J804" i="1"/>
  <c r="J1024" i="1"/>
  <c r="J1028" i="1"/>
  <c r="J1036" i="1"/>
  <c r="J1044" i="1"/>
  <c r="J1052" i="1"/>
  <c r="J1060" i="1"/>
  <c r="J1076" i="1"/>
  <c r="B977" i="1"/>
  <c r="B981" i="1"/>
  <c r="B989" i="1"/>
  <c r="J1079" i="1"/>
  <c r="J1066" i="1"/>
  <c r="J1074" i="1"/>
  <c r="J1085" i="1"/>
  <c r="J790" i="1"/>
  <c r="J850" i="1"/>
  <c r="J854" i="1"/>
  <c r="J858" i="1"/>
  <c r="J862" i="1"/>
  <c r="J866" i="1"/>
  <c r="J870" i="1"/>
  <c r="J874" i="1"/>
  <c r="J878" i="1"/>
  <c r="J882" i="1"/>
  <c r="J886" i="1"/>
  <c r="J890" i="1"/>
  <c r="J894" i="1"/>
  <c r="J898" i="1"/>
  <c r="J902" i="1"/>
  <c r="J906" i="1"/>
  <c r="J910" i="1"/>
  <c r="J967" i="1"/>
  <c r="J983" i="1"/>
  <c r="J991" i="1"/>
  <c r="J999" i="1"/>
  <c r="J1007" i="1"/>
  <c r="J1015" i="1"/>
  <c r="J1023" i="1"/>
  <c r="J1031" i="1"/>
  <c r="J1039" i="1"/>
  <c r="J1047" i="1"/>
  <c r="J1055" i="1"/>
  <c r="J1063" i="1"/>
  <c r="J412" i="1"/>
  <c r="J460" i="1"/>
  <c r="J476" i="1"/>
  <c r="J860" i="1"/>
  <c r="B783" i="1"/>
  <c r="J9" i="1"/>
  <c r="J17" i="1"/>
  <c r="J25" i="1"/>
  <c r="J33" i="1"/>
  <c r="J49" i="1"/>
  <c r="J65" i="1"/>
  <c r="J81" i="1"/>
  <c r="J89" i="1"/>
  <c r="J97" i="1"/>
  <c r="J105" i="1"/>
  <c r="J113" i="1"/>
  <c r="J121" i="1"/>
  <c r="J129" i="1"/>
  <c r="J137" i="1"/>
  <c r="J141" i="1"/>
  <c r="J149" i="1"/>
  <c r="J153" i="1"/>
  <c r="J157" i="1"/>
  <c r="J165" i="1"/>
  <c r="J169" i="1"/>
  <c r="J173" i="1"/>
  <c r="J181" i="1"/>
  <c r="J189" i="1"/>
  <c r="J197" i="1"/>
  <c r="J205" i="1"/>
  <c r="J213" i="1"/>
  <c r="J221" i="1"/>
  <c r="J229" i="1"/>
  <c r="J237" i="1"/>
  <c r="J245" i="1"/>
  <c r="J253" i="1"/>
  <c r="J261" i="1"/>
  <c r="J269" i="1"/>
  <c r="J277" i="1"/>
  <c r="J285" i="1"/>
  <c r="J786" i="1"/>
  <c r="J908" i="1"/>
  <c r="J633" i="1"/>
  <c r="B860" i="1"/>
  <c r="J914" i="1"/>
  <c r="J918" i="1"/>
  <c r="J348" i="1"/>
  <c r="J380" i="1"/>
  <c r="J623" i="1"/>
  <c r="J627" i="1"/>
  <c r="J631" i="1"/>
  <c r="J635" i="1"/>
  <c r="J639" i="1"/>
  <c r="J643" i="1"/>
  <c r="J647" i="1"/>
  <c r="J651" i="1"/>
  <c r="J655" i="1"/>
  <c r="J659" i="1"/>
  <c r="J663" i="1"/>
  <c r="J667" i="1"/>
  <c r="J699" i="1"/>
  <c r="J703" i="1"/>
  <c r="J707" i="1"/>
  <c r="J711" i="1"/>
  <c r="J715" i="1"/>
  <c r="J719" i="1"/>
  <c r="J723" i="1"/>
  <c r="J727" i="1"/>
  <c r="J731" i="1"/>
  <c r="J735" i="1"/>
  <c r="J739" i="1"/>
  <c r="J743" i="1"/>
  <c r="J747" i="1"/>
  <c r="J751" i="1"/>
  <c r="J755" i="1"/>
  <c r="J759" i="1"/>
  <c r="J775" i="1"/>
  <c r="J784" i="1"/>
  <c r="J796" i="1"/>
  <c r="J182" i="1"/>
  <c r="J198" i="1"/>
  <c r="J214" i="1"/>
  <c r="J222" i="1"/>
  <c r="J230" i="1"/>
  <c r="J238" i="1"/>
  <c r="J246" i="1"/>
  <c r="J254" i="1"/>
  <c r="J262" i="1"/>
  <c r="J270" i="1"/>
  <c r="J278" i="1"/>
  <c r="J286" i="1"/>
  <c r="J294" i="1"/>
  <c r="J302" i="1"/>
  <c r="J310" i="1"/>
  <c r="J318" i="1"/>
  <c r="J418" i="1"/>
  <c r="J462" i="1"/>
  <c r="J466" i="1"/>
  <c r="J478" i="1"/>
  <c r="J828" i="1"/>
  <c r="J932" i="1"/>
  <c r="B633" i="1"/>
  <c r="J780" i="1"/>
  <c r="B784" i="1"/>
  <c r="B786" i="1"/>
  <c r="B796" i="1"/>
  <c r="B908" i="1"/>
  <c r="J364" i="1"/>
  <c r="J396" i="1"/>
  <c r="J428" i="1"/>
  <c r="J492" i="1"/>
  <c r="J892" i="1"/>
  <c r="J7" i="1"/>
  <c r="J15" i="1"/>
  <c r="J23" i="1"/>
  <c r="J31" i="1"/>
  <c r="J38" i="1"/>
  <c r="J46" i="1"/>
  <c r="J47" i="1"/>
  <c r="J54" i="1"/>
  <c r="J62" i="1"/>
  <c r="J63" i="1"/>
  <c r="J70" i="1"/>
  <c r="J78" i="1"/>
  <c r="J86" i="1"/>
  <c r="J94" i="1"/>
  <c r="J102" i="1"/>
  <c r="J110" i="1"/>
  <c r="J118" i="1"/>
  <c r="J126" i="1"/>
  <c r="J134" i="1"/>
  <c r="J150" i="1"/>
  <c r="J166" i="1"/>
  <c r="B396" i="1"/>
  <c r="B460" i="1"/>
  <c r="J482" i="1"/>
  <c r="J844" i="1"/>
  <c r="J900" i="1"/>
  <c r="J948" i="1"/>
  <c r="J293" i="1"/>
  <c r="J301" i="1"/>
  <c r="J309" i="1"/>
  <c r="J317" i="1"/>
  <c r="J444" i="1"/>
  <c r="B828" i="1"/>
  <c r="B892" i="1"/>
  <c r="B932" i="1"/>
  <c r="J971" i="1"/>
  <c r="J332" i="1"/>
  <c r="B364" i="1"/>
  <c r="B428" i="1"/>
  <c r="J430" i="1"/>
  <c r="J434" i="1"/>
  <c r="J446" i="1"/>
  <c r="J450" i="1"/>
  <c r="B492" i="1"/>
  <c r="J494" i="1"/>
  <c r="J498" i="1"/>
  <c r="J812" i="1"/>
  <c r="J876" i="1"/>
  <c r="J916" i="1"/>
  <c r="B348" i="1"/>
  <c r="B380" i="1"/>
  <c r="B412" i="1"/>
  <c r="B444" i="1"/>
  <c r="B476" i="1"/>
  <c r="J778" i="1"/>
  <c r="J787" i="1"/>
  <c r="J893" i="1"/>
  <c r="J909" i="1"/>
  <c r="B967" i="1"/>
  <c r="B991" i="1"/>
  <c r="B1007" i="1"/>
  <c r="B1023" i="1"/>
  <c r="B1039" i="1"/>
  <c r="B1055" i="1"/>
  <c r="J1064" i="1"/>
  <c r="B6" i="1"/>
  <c r="J14" i="1"/>
  <c r="J22" i="1"/>
  <c r="J30" i="1"/>
  <c r="J115" i="1"/>
  <c r="J123" i="1"/>
  <c r="J131" i="1"/>
  <c r="J143" i="1"/>
  <c r="J147" i="1"/>
  <c r="J151" i="1"/>
  <c r="J159" i="1"/>
  <c r="J163" i="1"/>
  <c r="J167" i="1"/>
  <c r="J175" i="1"/>
  <c r="J183" i="1"/>
  <c r="J191" i="1"/>
  <c r="J199" i="1"/>
  <c r="J207" i="1"/>
  <c r="J215" i="1"/>
  <c r="J223" i="1"/>
  <c r="J231" i="1"/>
  <c r="J239" i="1"/>
  <c r="J247" i="1"/>
  <c r="J255" i="1"/>
  <c r="J263" i="1"/>
  <c r="J271" i="1"/>
  <c r="J279" i="1"/>
  <c r="J287" i="1"/>
  <c r="J295" i="1"/>
  <c r="J303" i="1"/>
  <c r="J311" i="1"/>
  <c r="J319" i="1"/>
  <c r="J323" i="1"/>
  <c r="J331" i="1"/>
  <c r="J339" i="1"/>
  <c r="B812" i="1"/>
  <c r="B844" i="1"/>
  <c r="B876" i="1"/>
  <c r="B900" i="1"/>
  <c r="B916" i="1"/>
  <c r="B948" i="1"/>
  <c r="J720" i="1"/>
  <c r="J728" i="1"/>
  <c r="J736" i="1"/>
  <c r="J744" i="1"/>
  <c r="J752" i="1"/>
  <c r="J760" i="1"/>
  <c r="J768" i="1"/>
  <c r="J901" i="1"/>
  <c r="B917" i="1"/>
  <c r="J947" i="1"/>
  <c r="J949" i="1"/>
  <c r="B983" i="1"/>
  <c r="B999" i="1"/>
  <c r="B1015" i="1"/>
  <c r="B1031" i="1"/>
  <c r="B1047" i="1"/>
  <c r="B1063" i="1"/>
  <c r="J1065" i="1"/>
  <c r="J8" i="1"/>
  <c r="J16" i="1"/>
  <c r="J24" i="1"/>
  <c r="J32" i="1"/>
  <c r="J39" i="1"/>
  <c r="J42" i="1"/>
  <c r="B46" i="1"/>
  <c r="J48" i="1"/>
  <c r="J55" i="1"/>
  <c r="J58" i="1"/>
  <c r="B62" i="1"/>
  <c r="J64" i="1"/>
  <c r="J71" i="1"/>
  <c r="J74" i="1"/>
  <c r="B78" i="1"/>
  <c r="J80" i="1"/>
  <c r="J87" i="1"/>
  <c r="J90" i="1"/>
  <c r="B94" i="1"/>
  <c r="J96" i="1"/>
  <c r="J103" i="1"/>
  <c r="J106" i="1"/>
  <c r="B110" i="1"/>
  <c r="J112" i="1"/>
  <c r="J122" i="1"/>
  <c r="B126" i="1"/>
  <c r="J128" i="1"/>
  <c r="J142" i="1"/>
  <c r="B150" i="1"/>
  <c r="J152" i="1"/>
  <c r="J174" i="1"/>
  <c r="J178" i="1"/>
  <c r="B182" i="1"/>
  <c r="J184" i="1"/>
  <c r="J206" i="1"/>
  <c r="J210" i="1"/>
  <c r="B214" i="1"/>
  <c r="J216" i="1"/>
  <c r="J226" i="1"/>
  <c r="B230" i="1"/>
  <c r="J232" i="1"/>
  <c r="J242" i="1"/>
  <c r="B246" i="1"/>
  <c r="J248" i="1"/>
  <c r="J258" i="1"/>
  <c r="B262" i="1"/>
  <c r="J264" i="1"/>
  <c r="J268" i="1"/>
  <c r="B278" i="1"/>
  <c r="J280" i="1"/>
  <c r="J284" i="1"/>
  <c r="B294" i="1"/>
  <c r="J296" i="1"/>
  <c r="J300" i="1"/>
  <c r="B310" i="1"/>
  <c r="J312" i="1"/>
  <c r="J316" i="1"/>
  <c r="J340" i="1"/>
  <c r="B340" i="1"/>
  <c r="J372" i="1"/>
  <c r="B372" i="1"/>
  <c r="J404" i="1"/>
  <c r="B404" i="1"/>
  <c r="J436" i="1"/>
  <c r="B436" i="1"/>
  <c r="J468" i="1"/>
  <c r="B468" i="1"/>
  <c r="J500" i="1"/>
  <c r="B500" i="1"/>
  <c r="J820" i="1"/>
  <c r="B820" i="1"/>
  <c r="J852" i="1"/>
  <c r="B852" i="1"/>
  <c r="J884" i="1"/>
  <c r="B884" i="1"/>
  <c r="J904" i="1"/>
  <c r="B904" i="1"/>
  <c r="J924" i="1"/>
  <c r="B924" i="1"/>
  <c r="J956" i="1"/>
  <c r="B956" i="1"/>
  <c r="J987" i="1"/>
  <c r="B987" i="1"/>
  <c r="J1003" i="1"/>
  <c r="B1003" i="1"/>
  <c r="J1019" i="1"/>
  <c r="B1019" i="1"/>
  <c r="J1035" i="1"/>
  <c r="B1035" i="1"/>
  <c r="J1051" i="1"/>
  <c r="B1051" i="1"/>
  <c r="J1071" i="1"/>
  <c r="B1071" i="1"/>
  <c r="J41" i="1"/>
  <c r="J57" i="1"/>
  <c r="J73" i="1"/>
  <c r="J10" i="1"/>
  <c r="J18" i="1"/>
  <c r="J26" i="1"/>
  <c r="J34" i="1"/>
  <c r="B38" i="1"/>
  <c r="J40" i="1"/>
  <c r="J50" i="1"/>
  <c r="B54" i="1"/>
  <c r="J56" i="1"/>
  <c r="J66" i="1"/>
  <c r="B70" i="1"/>
  <c r="J72" i="1"/>
  <c r="J79" i="1"/>
  <c r="J82" i="1"/>
  <c r="B86" i="1"/>
  <c r="J88" i="1"/>
  <c r="J95" i="1"/>
  <c r="J98" i="1"/>
  <c r="B102" i="1"/>
  <c r="J104" i="1"/>
  <c r="J111" i="1"/>
  <c r="J114" i="1"/>
  <c r="B118" i="1"/>
  <c r="J120" i="1"/>
  <c r="J130" i="1"/>
  <c r="B134" i="1"/>
  <c r="J136" i="1"/>
  <c r="J158" i="1"/>
  <c r="B166" i="1"/>
  <c r="J168" i="1"/>
  <c r="J190" i="1"/>
  <c r="J194" i="1"/>
  <c r="B198" i="1"/>
  <c r="J200" i="1"/>
  <c r="J208" i="1"/>
  <c r="B222" i="1"/>
  <c r="J224" i="1"/>
  <c r="B238" i="1"/>
  <c r="J240" i="1"/>
  <c r="B254" i="1"/>
  <c r="J256" i="1"/>
  <c r="B270" i="1"/>
  <c r="J272" i="1"/>
  <c r="J276" i="1"/>
  <c r="B286" i="1"/>
  <c r="J288" i="1"/>
  <c r="J292" i="1"/>
  <c r="B302" i="1"/>
  <c r="J304" i="1"/>
  <c r="J308" i="1"/>
  <c r="B318" i="1"/>
  <c r="J324" i="1"/>
  <c r="B324" i="1"/>
  <c r="B332" i="1"/>
  <c r="J356" i="1"/>
  <c r="B356" i="1"/>
  <c r="J388" i="1"/>
  <c r="B388" i="1"/>
  <c r="J389" i="1"/>
  <c r="J420" i="1"/>
  <c r="B420" i="1"/>
  <c r="J452" i="1"/>
  <c r="B452" i="1"/>
  <c r="J484" i="1"/>
  <c r="B484" i="1"/>
  <c r="J649" i="1"/>
  <c r="B649" i="1"/>
  <c r="J836" i="1"/>
  <c r="B836" i="1"/>
  <c r="J868" i="1"/>
  <c r="B868" i="1"/>
  <c r="J896" i="1"/>
  <c r="B896" i="1"/>
  <c r="J912" i="1"/>
  <c r="B912" i="1"/>
  <c r="J940" i="1"/>
  <c r="B940" i="1"/>
  <c r="J975" i="1"/>
  <c r="B975" i="1"/>
  <c r="J995" i="1"/>
  <c r="B995" i="1"/>
  <c r="J1011" i="1"/>
  <c r="B1011" i="1"/>
  <c r="J1027" i="1"/>
  <c r="B1027" i="1"/>
  <c r="J1043" i="1"/>
  <c r="B1043" i="1"/>
  <c r="J1059" i="1"/>
  <c r="B1059" i="1"/>
  <c r="J393" i="1"/>
  <c r="J405" i="1"/>
  <c r="J409" i="1"/>
  <c r="J421" i="1"/>
  <c r="J425" i="1"/>
  <c r="J437" i="1"/>
  <c r="J441" i="1"/>
  <c r="J453" i="1"/>
  <c r="J457" i="1"/>
  <c r="J469" i="1"/>
  <c r="J473" i="1"/>
  <c r="J485" i="1"/>
  <c r="J489" i="1"/>
  <c r="J501" i="1"/>
  <c r="J763" i="1"/>
  <c r="J767" i="1"/>
  <c r="J772" i="1"/>
  <c r="B775" i="1"/>
  <c r="B804" i="1"/>
  <c r="J963" i="1"/>
  <c r="J979" i="1"/>
  <c r="B985" i="1"/>
  <c r="J1032" i="1"/>
  <c r="J1040" i="1"/>
  <c r="J1048" i="1"/>
  <c r="J1056" i="1"/>
  <c r="J1068" i="1"/>
  <c r="J320" i="1"/>
  <c r="J385" i="1"/>
  <c r="J397" i="1"/>
  <c r="J401" i="1"/>
  <c r="J413" i="1"/>
  <c r="J417" i="1"/>
  <c r="J422" i="1"/>
  <c r="J426" i="1"/>
  <c r="J429" i="1"/>
  <c r="J433" i="1"/>
  <c r="J438" i="1"/>
  <c r="J442" i="1"/>
  <c r="J445" i="1"/>
  <c r="J449" i="1"/>
  <c r="J454" i="1"/>
  <c r="J458" i="1"/>
  <c r="J461" i="1"/>
  <c r="J465" i="1"/>
  <c r="J470" i="1"/>
  <c r="J474" i="1"/>
  <c r="J477" i="1"/>
  <c r="J481" i="1"/>
  <c r="J486" i="1"/>
  <c r="J490" i="1"/>
  <c r="J493" i="1"/>
  <c r="J497" i="1"/>
  <c r="J502" i="1"/>
  <c r="J770" i="1"/>
  <c r="J776" i="1"/>
  <c r="J897" i="1"/>
  <c r="J905" i="1"/>
  <c r="J913" i="1"/>
  <c r="J923" i="1"/>
  <c r="J925" i="1"/>
  <c r="J955" i="1"/>
  <c r="J957" i="1"/>
  <c r="J1073" i="1"/>
  <c r="J298" i="1"/>
  <c r="B298" i="1"/>
  <c r="J336" i="1"/>
  <c r="B336" i="1"/>
  <c r="J368" i="1"/>
  <c r="B368" i="1"/>
  <c r="J400" i="1"/>
  <c r="B400" i="1"/>
  <c r="J432" i="1"/>
  <c r="B432" i="1"/>
  <c r="J464" i="1"/>
  <c r="B464" i="1"/>
  <c r="J480" i="1"/>
  <c r="B480" i="1"/>
  <c r="B5" i="1"/>
  <c r="J11" i="1"/>
  <c r="B14" i="1"/>
  <c r="J19" i="1"/>
  <c r="B22" i="1"/>
  <c r="B30" i="1"/>
  <c r="J35" i="1"/>
  <c r="J43" i="1"/>
  <c r="J67" i="1"/>
  <c r="J75" i="1"/>
  <c r="J83" i="1"/>
  <c r="J99" i="1"/>
  <c r="J107" i="1"/>
  <c r="B115" i="1"/>
  <c r="J146" i="1"/>
  <c r="B146" i="1"/>
  <c r="J162" i="1"/>
  <c r="B162" i="1"/>
  <c r="J504" i="1"/>
  <c r="B504" i="1"/>
  <c r="J508" i="1"/>
  <c r="B508" i="1"/>
  <c r="J512" i="1"/>
  <c r="B512" i="1"/>
  <c r="J516" i="1"/>
  <c r="B516" i="1"/>
  <c r="J520" i="1"/>
  <c r="B520" i="1"/>
  <c r="J524" i="1"/>
  <c r="B524" i="1"/>
  <c r="J528" i="1"/>
  <c r="B528" i="1"/>
  <c r="J532" i="1"/>
  <c r="B532" i="1"/>
  <c r="J536" i="1"/>
  <c r="B536" i="1"/>
  <c r="J540" i="1"/>
  <c r="B540" i="1"/>
  <c r="J544" i="1"/>
  <c r="B544" i="1"/>
  <c r="J548" i="1"/>
  <c r="B548" i="1"/>
  <c r="J552" i="1"/>
  <c r="B552" i="1"/>
  <c r="J556" i="1"/>
  <c r="B556" i="1"/>
  <c r="J560" i="1"/>
  <c r="B560" i="1"/>
  <c r="J564" i="1"/>
  <c r="B564" i="1"/>
  <c r="J568" i="1"/>
  <c r="B568" i="1"/>
  <c r="J572" i="1"/>
  <c r="B572" i="1"/>
  <c r="J576" i="1"/>
  <c r="B576" i="1"/>
  <c r="J580" i="1"/>
  <c r="B580" i="1"/>
  <c r="J584" i="1"/>
  <c r="B584" i="1"/>
  <c r="J588" i="1"/>
  <c r="B588" i="1"/>
  <c r="J592" i="1"/>
  <c r="B592" i="1"/>
  <c r="J596" i="1"/>
  <c r="B596" i="1"/>
  <c r="J600" i="1"/>
  <c r="B600" i="1"/>
  <c r="J604" i="1"/>
  <c r="B604" i="1"/>
  <c r="J608" i="1"/>
  <c r="B608" i="1"/>
  <c r="J612" i="1"/>
  <c r="B612" i="1"/>
  <c r="J616" i="1"/>
  <c r="B616" i="1"/>
  <c r="J625" i="1"/>
  <c r="B625" i="1"/>
  <c r="J657" i="1"/>
  <c r="B657" i="1"/>
  <c r="J314" i="1"/>
  <c r="B314" i="1"/>
  <c r="J27" i="1"/>
  <c r="J51" i="1"/>
  <c r="J59" i="1"/>
  <c r="J91" i="1"/>
  <c r="B3" i="1"/>
  <c r="B4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19" i="1"/>
  <c r="J125" i="1"/>
  <c r="J127" i="1"/>
  <c r="J133" i="1"/>
  <c r="J135" i="1"/>
  <c r="J139" i="1"/>
  <c r="J145" i="1"/>
  <c r="J155" i="1"/>
  <c r="J161" i="1"/>
  <c r="J171" i="1"/>
  <c r="J274" i="1"/>
  <c r="B274" i="1"/>
  <c r="J290" i="1"/>
  <c r="B290" i="1"/>
  <c r="J306" i="1"/>
  <c r="B306" i="1"/>
  <c r="J328" i="1"/>
  <c r="B328" i="1"/>
  <c r="J344" i="1"/>
  <c r="B344" i="1"/>
  <c r="J360" i="1"/>
  <c r="B360" i="1"/>
  <c r="J376" i="1"/>
  <c r="B376" i="1"/>
  <c r="J392" i="1"/>
  <c r="B392" i="1"/>
  <c r="J408" i="1"/>
  <c r="B408" i="1"/>
  <c r="J424" i="1"/>
  <c r="B424" i="1"/>
  <c r="J440" i="1"/>
  <c r="B440" i="1"/>
  <c r="J456" i="1"/>
  <c r="B456" i="1"/>
  <c r="J472" i="1"/>
  <c r="B472" i="1"/>
  <c r="J488" i="1"/>
  <c r="B488" i="1"/>
  <c r="J503" i="1"/>
  <c r="B503" i="1"/>
  <c r="J282" i="1"/>
  <c r="B282" i="1"/>
  <c r="J352" i="1"/>
  <c r="B352" i="1"/>
  <c r="J384" i="1"/>
  <c r="B384" i="1"/>
  <c r="J416" i="1"/>
  <c r="B416" i="1"/>
  <c r="J448" i="1"/>
  <c r="B448" i="1"/>
  <c r="J496" i="1"/>
  <c r="B496" i="1"/>
  <c r="J964" i="1"/>
  <c r="B964" i="1"/>
  <c r="J980" i="1"/>
  <c r="B980" i="1"/>
  <c r="B2" i="1"/>
  <c r="B10" i="1"/>
  <c r="J12" i="1"/>
  <c r="B18" i="1"/>
  <c r="J20" i="1"/>
  <c r="B26" i="1"/>
  <c r="J28" i="1"/>
  <c r="B34" i="1"/>
  <c r="J36" i="1"/>
  <c r="B42" i="1"/>
  <c r="J44" i="1"/>
  <c r="B50" i="1"/>
  <c r="J52" i="1"/>
  <c r="B58" i="1"/>
  <c r="J60" i="1"/>
  <c r="B66" i="1"/>
  <c r="J68" i="1"/>
  <c r="B74" i="1"/>
  <c r="J76" i="1"/>
  <c r="B82" i="1"/>
  <c r="J84" i="1"/>
  <c r="B90" i="1"/>
  <c r="J92" i="1"/>
  <c r="B98" i="1"/>
  <c r="J100" i="1"/>
  <c r="B106" i="1"/>
  <c r="J108" i="1"/>
  <c r="B114" i="1"/>
  <c r="J116" i="1"/>
  <c r="B122" i="1"/>
  <c r="J124" i="1"/>
  <c r="B130" i="1"/>
  <c r="J132" i="1"/>
  <c r="J138" i="1"/>
  <c r="B138" i="1"/>
  <c r="B142" i="1"/>
  <c r="J144" i="1"/>
  <c r="J154" i="1"/>
  <c r="B154" i="1"/>
  <c r="B158" i="1"/>
  <c r="J160" i="1"/>
  <c r="J170" i="1"/>
  <c r="B170" i="1"/>
  <c r="B174" i="1"/>
  <c r="J176" i="1"/>
  <c r="J186" i="1"/>
  <c r="B190" i="1"/>
  <c r="J192" i="1"/>
  <c r="J202" i="1"/>
  <c r="B206" i="1"/>
  <c r="J218" i="1"/>
  <c r="J234" i="1"/>
  <c r="J250" i="1"/>
  <c r="J266" i="1"/>
  <c r="J507" i="1"/>
  <c r="B507" i="1"/>
  <c r="J511" i="1"/>
  <c r="B511" i="1"/>
  <c r="J515" i="1"/>
  <c r="B515" i="1"/>
  <c r="J519" i="1"/>
  <c r="B519" i="1"/>
  <c r="J523" i="1"/>
  <c r="B523" i="1"/>
  <c r="J527" i="1"/>
  <c r="B527" i="1"/>
  <c r="J531" i="1"/>
  <c r="B531" i="1"/>
  <c r="J535" i="1"/>
  <c r="B535" i="1"/>
  <c r="J539" i="1"/>
  <c r="B539" i="1"/>
  <c r="J543" i="1"/>
  <c r="B543" i="1"/>
  <c r="J547" i="1"/>
  <c r="B547" i="1"/>
  <c r="J551" i="1"/>
  <c r="B551" i="1"/>
  <c r="J555" i="1"/>
  <c r="B555" i="1"/>
  <c r="J559" i="1"/>
  <c r="B559" i="1"/>
  <c r="J563" i="1"/>
  <c r="B563" i="1"/>
  <c r="J567" i="1"/>
  <c r="B567" i="1"/>
  <c r="J571" i="1"/>
  <c r="B571" i="1"/>
  <c r="J575" i="1"/>
  <c r="B575" i="1"/>
  <c r="J579" i="1"/>
  <c r="B579" i="1"/>
  <c r="J583" i="1"/>
  <c r="B583" i="1"/>
  <c r="J587" i="1"/>
  <c r="B587" i="1"/>
  <c r="J591" i="1"/>
  <c r="B591" i="1"/>
  <c r="J595" i="1"/>
  <c r="B595" i="1"/>
  <c r="J599" i="1"/>
  <c r="B599" i="1"/>
  <c r="J603" i="1"/>
  <c r="B603" i="1"/>
  <c r="J607" i="1"/>
  <c r="B607" i="1"/>
  <c r="J611" i="1"/>
  <c r="B611" i="1"/>
  <c r="J615" i="1"/>
  <c r="B615" i="1"/>
  <c r="J619" i="1"/>
  <c r="B619" i="1"/>
  <c r="J641" i="1"/>
  <c r="B641" i="1"/>
  <c r="J347" i="1"/>
  <c r="J355" i="1"/>
  <c r="J363" i="1"/>
  <c r="J371" i="1"/>
  <c r="J379" i="1"/>
  <c r="J419" i="1"/>
  <c r="J427" i="1"/>
  <c r="J435" i="1"/>
  <c r="J443" i="1"/>
  <c r="J451" i="1"/>
  <c r="J459" i="1"/>
  <c r="J467" i="1"/>
  <c r="J475" i="1"/>
  <c r="J483" i="1"/>
  <c r="J491" i="1"/>
  <c r="J499" i="1"/>
  <c r="J505" i="1"/>
  <c r="J509" i="1"/>
  <c r="J513" i="1"/>
  <c r="J517" i="1"/>
  <c r="J521" i="1"/>
  <c r="J525" i="1"/>
  <c r="J529" i="1"/>
  <c r="J533" i="1"/>
  <c r="J537" i="1"/>
  <c r="J541" i="1"/>
  <c r="J545" i="1"/>
  <c r="J549" i="1"/>
  <c r="J553" i="1"/>
  <c r="J557" i="1"/>
  <c r="J561" i="1"/>
  <c r="J565" i="1"/>
  <c r="J569" i="1"/>
  <c r="J573" i="1"/>
  <c r="J577" i="1"/>
  <c r="J581" i="1"/>
  <c r="J585" i="1"/>
  <c r="J589" i="1"/>
  <c r="J593" i="1"/>
  <c r="J597" i="1"/>
  <c r="J601" i="1"/>
  <c r="J605" i="1"/>
  <c r="J609" i="1"/>
  <c r="J613" i="1"/>
  <c r="J617" i="1"/>
  <c r="J628" i="1"/>
  <c r="B628" i="1"/>
  <c r="J632" i="1"/>
  <c r="B632" i="1"/>
  <c r="J644" i="1"/>
  <c r="B644" i="1"/>
  <c r="J648" i="1"/>
  <c r="B648" i="1"/>
  <c r="J660" i="1"/>
  <c r="B660" i="1"/>
  <c r="J664" i="1"/>
  <c r="B664" i="1"/>
  <c r="J668" i="1"/>
  <c r="B668" i="1"/>
  <c r="J672" i="1"/>
  <c r="B672" i="1"/>
  <c r="J676" i="1"/>
  <c r="B676" i="1"/>
  <c r="J680" i="1"/>
  <c r="B680" i="1"/>
  <c r="J684" i="1"/>
  <c r="B684" i="1"/>
  <c r="J688" i="1"/>
  <c r="B688" i="1"/>
  <c r="J692" i="1"/>
  <c r="B692" i="1"/>
  <c r="J696" i="1"/>
  <c r="B696" i="1"/>
  <c r="J700" i="1"/>
  <c r="B700" i="1"/>
  <c r="J704" i="1"/>
  <c r="B704" i="1"/>
  <c r="J708" i="1"/>
  <c r="B708" i="1"/>
  <c r="J712" i="1"/>
  <c r="B712" i="1"/>
  <c r="J716" i="1"/>
  <c r="B716" i="1"/>
  <c r="J724" i="1"/>
  <c r="B724" i="1"/>
  <c r="J732" i="1"/>
  <c r="B732" i="1"/>
  <c r="J740" i="1"/>
  <c r="B740" i="1"/>
  <c r="J748" i="1"/>
  <c r="B748" i="1"/>
  <c r="J756" i="1"/>
  <c r="B756" i="1"/>
  <c r="J764" i="1"/>
  <c r="B764" i="1"/>
  <c r="J779" i="1"/>
  <c r="B779" i="1"/>
  <c r="J792" i="1"/>
  <c r="B792" i="1"/>
  <c r="J808" i="1"/>
  <c r="B808" i="1"/>
  <c r="J824" i="1"/>
  <c r="B824" i="1"/>
  <c r="J840" i="1"/>
  <c r="B840" i="1"/>
  <c r="J856" i="1"/>
  <c r="B856" i="1"/>
  <c r="J872" i="1"/>
  <c r="B872" i="1"/>
  <c r="J888" i="1"/>
  <c r="B888" i="1"/>
  <c r="J140" i="1"/>
  <c r="J148" i="1"/>
  <c r="J156" i="1"/>
  <c r="J164" i="1"/>
  <c r="J172" i="1"/>
  <c r="B178" i="1"/>
  <c r="J180" i="1"/>
  <c r="B186" i="1"/>
  <c r="J188" i="1"/>
  <c r="B194" i="1"/>
  <c r="J196" i="1"/>
  <c r="B202" i="1"/>
  <c r="J204" i="1"/>
  <c r="B210" i="1"/>
  <c r="J212" i="1"/>
  <c r="B218" i="1"/>
  <c r="J220" i="1"/>
  <c r="B226" i="1"/>
  <c r="J228" i="1"/>
  <c r="B234" i="1"/>
  <c r="J236" i="1"/>
  <c r="B242" i="1"/>
  <c r="J244" i="1"/>
  <c r="B250" i="1"/>
  <c r="J252" i="1"/>
  <c r="B258" i="1"/>
  <c r="J260" i="1"/>
  <c r="B266" i="1"/>
  <c r="J177" i="1"/>
  <c r="J179" i="1"/>
  <c r="J185" i="1"/>
  <c r="J187" i="1"/>
  <c r="J193" i="1"/>
  <c r="J195" i="1"/>
  <c r="J201" i="1"/>
  <c r="J203" i="1"/>
  <c r="J209" i="1"/>
  <c r="J211" i="1"/>
  <c r="J217" i="1"/>
  <c r="J219" i="1"/>
  <c r="J225" i="1"/>
  <c r="J227" i="1"/>
  <c r="J233" i="1"/>
  <c r="J235" i="1"/>
  <c r="J241" i="1"/>
  <c r="J243" i="1"/>
  <c r="J249" i="1"/>
  <c r="J251" i="1"/>
  <c r="J257" i="1"/>
  <c r="J259" i="1"/>
  <c r="J265" i="1"/>
  <c r="J267" i="1"/>
  <c r="J273" i="1"/>
  <c r="J275" i="1"/>
  <c r="J281" i="1"/>
  <c r="J283" i="1"/>
  <c r="J289" i="1"/>
  <c r="J291" i="1"/>
  <c r="J297" i="1"/>
  <c r="J299" i="1"/>
  <c r="J305" i="1"/>
  <c r="J307" i="1"/>
  <c r="J313" i="1"/>
  <c r="J315" i="1"/>
  <c r="J321" i="1"/>
  <c r="J327" i="1"/>
  <c r="J335" i="1"/>
  <c r="J343" i="1"/>
  <c r="J351" i="1"/>
  <c r="J359" i="1"/>
  <c r="J367" i="1"/>
  <c r="J375" i="1"/>
  <c r="J383" i="1"/>
  <c r="J423" i="1"/>
  <c r="J431" i="1"/>
  <c r="J439" i="1"/>
  <c r="J447" i="1"/>
  <c r="J455" i="1"/>
  <c r="J463" i="1"/>
  <c r="J471" i="1"/>
  <c r="J479" i="1"/>
  <c r="J487" i="1"/>
  <c r="J495" i="1"/>
  <c r="J506" i="1"/>
  <c r="J510" i="1"/>
  <c r="J514" i="1"/>
  <c r="J518" i="1"/>
  <c r="J522" i="1"/>
  <c r="J526" i="1"/>
  <c r="J530" i="1"/>
  <c r="J534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598" i="1"/>
  <c r="J602" i="1"/>
  <c r="J606" i="1"/>
  <c r="J610" i="1"/>
  <c r="J614" i="1"/>
  <c r="J618" i="1"/>
  <c r="J620" i="1"/>
  <c r="B620" i="1"/>
  <c r="J621" i="1"/>
  <c r="J624" i="1"/>
  <c r="B624" i="1"/>
  <c r="J636" i="1"/>
  <c r="B636" i="1"/>
  <c r="J640" i="1"/>
  <c r="B640" i="1"/>
  <c r="J652" i="1"/>
  <c r="B652" i="1"/>
  <c r="J656" i="1"/>
  <c r="B656" i="1"/>
  <c r="J771" i="1"/>
  <c r="B771" i="1"/>
  <c r="J800" i="1"/>
  <c r="B800" i="1"/>
  <c r="J816" i="1"/>
  <c r="B816" i="1"/>
  <c r="J832" i="1"/>
  <c r="B832" i="1"/>
  <c r="J848" i="1"/>
  <c r="B848" i="1"/>
  <c r="J864" i="1"/>
  <c r="B864" i="1"/>
  <c r="J880" i="1"/>
  <c r="B880" i="1"/>
  <c r="J622" i="1"/>
  <c r="J629" i="1"/>
  <c r="J645" i="1"/>
  <c r="J674" i="1"/>
  <c r="J677" i="1"/>
  <c r="J682" i="1"/>
  <c r="J685" i="1"/>
  <c r="J690" i="1"/>
  <c r="J693" i="1"/>
  <c r="J698" i="1"/>
  <c r="J701" i="1"/>
  <c r="J706" i="1"/>
  <c r="J709" i="1"/>
  <c r="J714" i="1"/>
  <c r="J717" i="1"/>
  <c r="B720" i="1"/>
  <c r="J722" i="1"/>
  <c r="J725" i="1"/>
  <c r="B728" i="1"/>
  <c r="J730" i="1"/>
  <c r="J733" i="1"/>
  <c r="B736" i="1"/>
  <c r="J738" i="1"/>
  <c r="J741" i="1"/>
  <c r="B744" i="1"/>
  <c r="J746" i="1"/>
  <c r="J749" i="1"/>
  <c r="B752" i="1"/>
  <c r="J754" i="1"/>
  <c r="J757" i="1"/>
  <c r="B760" i="1"/>
  <c r="J762" i="1"/>
  <c r="J765" i="1"/>
  <c r="B768" i="1"/>
  <c r="B770" i="1"/>
  <c r="J774" i="1"/>
  <c r="B776" i="1"/>
  <c r="B778" i="1"/>
  <c r="J782" i="1"/>
  <c r="J783" i="1"/>
  <c r="B787" i="1"/>
  <c r="J795" i="1"/>
  <c r="B795" i="1"/>
  <c r="J797" i="1"/>
  <c r="J803" i="1"/>
  <c r="B803" i="1"/>
  <c r="J805" i="1"/>
  <c r="J811" i="1"/>
  <c r="B811" i="1"/>
  <c r="J813" i="1"/>
  <c r="J819" i="1"/>
  <c r="B819" i="1"/>
  <c r="J827" i="1"/>
  <c r="B827" i="1"/>
  <c r="J835" i="1"/>
  <c r="B835" i="1"/>
  <c r="J843" i="1"/>
  <c r="B843" i="1"/>
  <c r="J851" i="1"/>
  <c r="B851" i="1"/>
  <c r="J859" i="1"/>
  <c r="B859" i="1"/>
  <c r="J867" i="1"/>
  <c r="B867" i="1"/>
  <c r="J875" i="1"/>
  <c r="B875" i="1"/>
  <c r="J883" i="1"/>
  <c r="B883" i="1"/>
  <c r="J891" i="1"/>
  <c r="B891" i="1"/>
  <c r="J899" i="1"/>
  <c r="B899" i="1"/>
  <c r="J907" i="1"/>
  <c r="B907" i="1"/>
  <c r="J915" i="1"/>
  <c r="B915" i="1"/>
  <c r="J928" i="1"/>
  <c r="B928" i="1"/>
  <c r="J952" i="1"/>
  <c r="B952" i="1"/>
  <c r="J972" i="1"/>
  <c r="B972" i="1"/>
  <c r="J637" i="1"/>
  <c r="J653" i="1"/>
  <c r="J670" i="1"/>
  <c r="J673" i="1"/>
  <c r="J678" i="1"/>
  <c r="J681" i="1"/>
  <c r="J686" i="1"/>
  <c r="J689" i="1"/>
  <c r="J694" i="1"/>
  <c r="J697" i="1"/>
  <c r="J702" i="1"/>
  <c r="J705" i="1"/>
  <c r="J710" i="1"/>
  <c r="J713" i="1"/>
  <c r="J718" i="1"/>
  <c r="J721" i="1"/>
  <c r="J726" i="1"/>
  <c r="J729" i="1"/>
  <c r="J734" i="1"/>
  <c r="J737" i="1"/>
  <c r="J742" i="1"/>
  <c r="J745" i="1"/>
  <c r="J750" i="1"/>
  <c r="J753" i="1"/>
  <c r="J758" i="1"/>
  <c r="J761" i="1"/>
  <c r="J766" i="1"/>
  <c r="J791" i="1"/>
  <c r="B791" i="1"/>
  <c r="J799" i="1"/>
  <c r="B799" i="1"/>
  <c r="J801" i="1"/>
  <c r="J807" i="1"/>
  <c r="B807" i="1"/>
  <c r="J809" i="1"/>
  <c r="J815" i="1"/>
  <c r="B815" i="1"/>
  <c r="J823" i="1"/>
  <c r="B823" i="1"/>
  <c r="J831" i="1"/>
  <c r="B831" i="1"/>
  <c r="J839" i="1"/>
  <c r="B839" i="1"/>
  <c r="J847" i="1"/>
  <c r="B847" i="1"/>
  <c r="J855" i="1"/>
  <c r="B855" i="1"/>
  <c r="J863" i="1"/>
  <c r="B863" i="1"/>
  <c r="J871" i="1"/>
  <c r="B871" i="1"/>
  <c r="J879" i="1"/>
  <c r="B879" i="1"/>
  <c r="J887" i="1"/>
  <c r="B887" i="1"/>
  <c r="J895" i="1"/>
  <c r="B895" i="1"/>
  <c r="J903" i="1"/>
  <c r="B903" i="1"/>
  <c r="J911" i="1"/>
  <c r="B911" i="1"/>
  <c r="J920" i="1"/>
  <c r="B920" i="1"/>
  <c r="J936" i="1"/>
  <c r="B936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1" i="1"/>
  <c r="J885" i="1"/>
  <c r="J889" i="1"/>
  <c r="J931" i="1"/>
  <c r="J933" i="1"/>
  <c r="J939" i="1"/>
  <c r="J941" i="1"/>
  <c r="J945" i="1"/>
  <c r="J951" i="1"/>
  <c r="J961" i="1"/>
  <c r="J969" i="1"/>
  <c r="J977" i="1"/>
  <c r="J1075" i="1"/>
  <c r="B1075" i="1"/>
  <c r="J944" i="1"/>
  <c r="B944" i="1"/>
  <c r="J960" i="1"/>
  <c r="B960" i="1"/>
  <c r="J968" i="1"/>
  <c r="B968" i="1"/>
  <c r="J976" i="1"/>
  <c r="B976" i="1"/>
  <c r="J788" i="1"/>
  <c r="J919" i="1"/>
  <c r="J921" i="1"/>
  <c r="J927" i="1"/>
  <c r="J929" i="1"/>
  <c r="J935" i="1"/>
  <c r="J937" i="1"/>
  <c r="J943" i="1"/>
  <c r="J953" i="1"/>
  <c r="J959" i="1"/>
  <c r="B963" i="1"/>
  <c r="J965" i="1"/>
  <c r="B971" i="1"/>
  <c r="J973" i="1"/>
  <c r="B979" i="1"/>
  <c r="J981" i="1"/>
  <c r="J1067" i="1"/>
  <c r="B1067" i="1"/>
  <c r="B1068" i="1"/>
  <c r="J970" i="1"/>
  <c r="J974" i="1"/>
  <c r="J978" i="1"/>
  <c r="J982" i="1"/>
  <c r="B984" i="1"/>
  <c r="J986" i="1"/>
  <c r="B988" i="1"/>
  <c r="J990" i="1"/>
  <c r="B992" i="1"/>
  <c r="J994" i="1"/>
  <c r="B996" i="1"/>
  <c r="J998" i="1"/>
  <c r="B1000" i="1"/>
  <c r="J1002" i="1"/>
  <c r="B1004" i="1"/>
  <c r="J1006" i="1"/>
  <c r="B1008" i="1"/>
  <c r="J1010" i="1"/>
  <c r="B1012" i="1"/>
  <c r="J1014" i="1"/>
  <c r="B1016" i="1"/>
  <c r="J1018" i="1"/>
  <c r="B1020" i="1"/>
  <c r="J1022" i="1"/>
  <c r="B1024" i="1"/>
  <c r="J1026" i="1"/>
  <c r="B1028" i="1"/>
  <c r="J1030" i="1"/>
  <c r="B1032" i="1"/>
  <c r="J1034" i="1"/>
  <c r="B1036" i="1"/>
  <c r="J1038" i="1"/>
  <c r="B1040" i="1"/>
  <c r="J1042" i="1"/>
  <c r="B1044" i="1"/>
  <c r="J1046" i="1"/>
  <c r="B1048" i="1"/>
  <c r="J1050" i="1"/>
  <c r="B1052" i="1"/>
  <c r="J1054" i="1"/>
  <c r="B1056" i="1"/>
  <c r="J1058" i="1"/>
  <c r="B1060" i="1"/>
  <c r="J1062" i="1"/>
  <c r="J1070" i="1"/>
  <c r="J1072" i="1"/>
  <c r="J1078" i="1"/>
  <c r="J1080" i="1"/>
  <c r="J1084" i="1"/>
  <c r="J985" i="1"/>
  <c r="J989" i="1"/>
  <c r="J993" i="1"/>
  <c r="J997" i="1"/>
  <c r="J1001" i="1"/>
  <c r="J1005" i="1"/>
  <c r="J1009" i="1"/>
  <c r="J1013" i="1"/>
  <c r="J1017" i="1"/>
  <c r="J1021" i="1"/>
  <c r="J1025" i="1"/>
  <c r="J1029" i="1"/>
  <c r="J1033" i="1"/>
  <c r="J1037" i="1"/>
  <c r="J1041" i="1"/>
  <c r="J1045" i="1"/>
  <c r="J1049" i="1"/>
  <c r="J1053" i="1"/>
  <c r="J1057" i="1"/>
  <c r="J1061" i="1"/>
  <c r="J1069" i="1"/>
  <c r="J1077" i="1"/>
  <c r="J1083" i="1"/>
  <c r="J322" i="1"/>
  <c r="B322" i="1"/>
  <c r="J326" i="1"/>
  <c r="B326" i="1"/>
  <c r="J330" i="1"/>
  <c r="B330" i="1"/>
  <c r="J334" i="1"/>
  <c r="B334" i="1"/>
  <c r="J338" i="1"/>
  <c r="B338" i="1"/>
  <c r="J342" i="1"/>
  <c r="B342" i="1"/>
  <c r="J346" i="1"/>
  <c r="B346" i="1"/>
  <c r="J350" i="1"/>
  <c r="B350" i="1"/>
  <c r="J354" i="1"/>
  <c r="B354" i="1"/>
  <c r="J358" i="1"/>
  <c r="B358" i="1"/>
  <c r="J362" i="1"/>
  <c r="B362" i="1"/>
  <c r="J366" i="1"/>
  <c r="B366" i="1"/>
  <c r="J370" i="1"/>
  <c r="B370" i="1"/>
  <c r="J374" i="1"/>
  <c r="B374" i="1"/>
  <c r="J378" i="1"/>
  <c r="B378" i="1"/>
  <c r="J382" i="1"/>
  <c r="B382" i="1"/>
  <c r="J391" i="1"/>
  <c r="B391" i="1"/>
  <c r="J399" i="1"/>
  <c r="B399" i="1"/>
  <c r="J407" i="1"/>
  <c r="B407" i="1"/>
  <c r="J415" i="1"/>
  <c r="B415" i="1"/>
  <c r="B7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07" i="1"/>
  <c r="B311" i="1"/>
  <c r="B315" i="1"/>
  <c r="B319" i="1"/>
  <c r="J390" i="1"/>
  <c r="J398" i="1"/>
  <c r="J406" i="1"/>
  <c r="J414" i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96" i="1"/>
  <c r="B200" i="1"/>
  <c r="B204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4" i="1"/>
  <c r="B268" i="1"/>
  <c r="B272" i="1"/>
  <c r="B276" i="1"/>
  <c r="B280" i="1"/>
  <c r="B284" i="1"/>
  <c r="B288" i="1"/>
  <c r="B292" i="1"/>
  <c r="B296" i="1"/>
  <c r="B300" i="1"/>
  <c r="B304" i="1"/>
  <c r="B308" i="1"/>
  <c r="B312" i="1"/>
  <c r="B316" i="1"/>
  <c r="B320" i="1"/>
  <c r="J325" i="1"/>
  <c r="B325" i="1"/>
  <c r="J329" i="1"/>
  <c r="B329" i="1"/>
  <c r="J333" i="1"/>
  <c r="B333" i="1"/>
  <c r="J337" i="1"/>
  <c r="B337" i="1"/>
  <c r="J341" i="1"/>
  <c r="B341" i="1"/>
  <c r="J345" i="1"/>
  <c r="B345" i="1"/>
  <c r="J349" i="1"/>
  <c r="B349" i="1"/>
  <c r="J353" i="1"/>
  <c r="B353" i="1"/>
  <c r="J357" i="1"/>
  <c r="B357" i="1"/>
  <c r="J361" i="1"/>
  <c r="B361" i="1"/>
  <c r="J365" i="1"/>
  <c r="B365" i="1"/>
  <c r="J369" i="1"/>
  <c r="B369" i="1"/>
  <c r="J373" i="1"/>
  <c r="B373" i="1"/>
  <c r="J377" i="1"/>
  <c r="B377" i="1"/>
  <c r="J381" i="1"/>
  <c r="B381" i="1"/>
  <c r="J387" i="1"/>
  <c r="B387" i="1"/>
  <c r="J395" i="1"/>
  <c r="B395" i="1"/>
  <c r="J403" i="1"/>
  <c r="B403" i="1"/>
  <c r="J411" i="1"/>
  <c r="B411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5" i="1"/>
  <c r="B269" i="1"/>
  <c r="B273" i="1"/>
  <c r="B277" i="1"/>
  <c r="B281" i="1"/>
  <c r="B285" i="1"/>
  <c r="B289" i="1"/>
  <c r="B293" i="1"/>
  <c r="B297" i="1"/>
  <c r="B301" i="1"/>
  <c r="B305" i="1"/>
  <c r="B309" i="1"/>
  <c r="B313" i="1"/>
  <c r="B317" i="1"/>
  <c r="B321" i="1"/>
  <c r="B323" i="1"/>
  <c r="B327" i="1"/>
  <c r="B331" i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J386" i="1"/>
  <c r="J394" i="1"/>
  <c r="J402" i="1"/>
  <c r="J410" i="1"/>
  <c r="B419" i="1"/>
  <c r="B423" i="1"/>
  <c r="B427" i="1"/>
  <c r="B431" i="1"/>
  <c r="B435" i="1"/>
  <c r="B439" i="1"/>
  <c r="B443" i="1"/>
  <c r="B447" i="1"/>
  <c r="B451" i="1"/>
  <c r="B455" i="1"/>
  <c r="B459" i="1"/>
  <c r="B463" i="1"/>
  <c r="B467" i="1"/>
  <c r="B471" i="1"/>
  <c r="B475" i="1"/>
  <c r="B479" i="1"/>
  <c r="B483" i="1"/>
  <c r="B487" i="1"/>
  <c r="B491" i="1"/>
  <c r="B495" i="1"/>
  <c r="B499" i="1"/>
  <c r="J630" i="1"/>
  <c r="B630" i="1"/>
  <c r="J638" i="1"/>
  <c r="B638" i="1"/>
  <c r="J646" i="1"/>
  <c r="B646" i="1"/>
  <c r="J654" i="1"/>
  <c r="B654" i="1"/>
  <c r="J661" i="1"/>
  <c r="B661" i="1"/>
  <c r="J665" i="1"/>
  <c r="B665" i="1"/>
  <c r="J669" i="1"/>
  <c r="B669" i="1"/>
  <c r="B627" i="1"/>
  <c r="B635" i="1"/>
  <c r="B643" i="1"/>
  <c r="B651" i="1"/>
  <c r="B659" i="1"/>
  <c r="B663" i="1"/>
  <c r="B667" i="1"/>
  <c r="J671" i="1"/>
  <c r="B671" i="1"/>
  <c r="J679" i="1"/>
  <c r="B679" i="1"/>
  <c r="J687" i="1"/>
  <c r="B687" i="1"/>
  <c r="J695" i="1"/>
  <c r="B695" i="1"/>
  <c r="B385" i="1"/>
  <c r="B389" i="1"/>
  <c r="B393" i="1"/>
  <c r="B397" i="1"/>
  <c r="B401" i="1"/>
  <c r="B405" i="1"/>
  <c r="B409" i="1"/>
  <c r="B413" i="1"/>
  <c r="B417" i="1"/>
  <c r="B421" i="1"/>
  <c r="B425" i="1"/>
  <c r="B429" i="1"/>
  <c r="B433" i="1"/>
  <c r="B437" i="1"/>
  <c r="B441" i="1"/>
  <c r="B445" i="1"/>
  <c r="B449" i="1"/>
  <c r="B453" i="1"/>
  <c r="B457" i="1"/>
  <c r="B461" i="1"/>
  <c r="B465" i="1"/>
  <c r="B469" i="1"/>
  <c r="B473" i="1"/>
  <c r="B477" i="1"/>
  <c r="B481" i="1"/>
  <c r="B485" i="1"/>
  <c r="B489" i="1"/>
  <c r="B493" i="1"/>
  <c r="B497" i="1"/>
  <c r="B501" i="1"/>
  <c r="B505" i="1"/>
  <c r="B509" i="1"/>
  <c r="B513" i="1"/>
  <c r="B517" i="1"/>
  <c r="B521" i="1"/>
  <c r="B525" i="1"/>
  <c r="B529" i="1"/>
  <c r="B533" i="1"/>
  <c r="B537" i="1"/>
  <c r="B541" i="1"/>
  <c r="B545" i="1"/>
  <c r="B549" i="1"/>
  <c r="B553" i="1"/>
  <c r="B557" i="1"/>
  <c r="B561" i="1"/>
  <c r="B565" i="1"/>
  <c r="B569" i="1"/>
  <c r="B573" i="1"/>
  <c r="B577" i="1"/>
  <c r="B581" i="1"/>
  <c r="B585" i="1"/>
  <c r="B589" i="1"/>
  <c r="B593" i="1"/>
  <c r="B597" i="1"/>
  <c r="B601" i="1"/>
  <c r="B605" i="1"/>
  <c r="B609" i="1"/>
  <c r="B613" i="1"/>
  <c r="B617" i="1"/>
  <c r="B621" i="1"/>
  <c r="J626" i="1"/>
  <c r="B626" i="1"/>
  <c r="J634" i="1"/>
  <c r="B634" i="1"/>
  <c r="J642" i="1"/>
  <c r="B642" i="1"/>
  <c r="J650" i="1"/>
  <c r="B650" i="1"/>
  <c r="J658" i="1"/>
  <c r="B658" i="1"/>
  <c r="J662" i="1"/>
  <c r="B662" i="1"/>
  <c r="J666" i="1"/>
  <c r="B666" i="1"/>
  <c r="B386" i="1"/>
  <c r="B390" i="1"/>
  <c r="B394" i="1"/>
  <c r="B398" i="1"/>
  <c r="B402" i="1"/>
  <c r="B406" i="1"/>
  <c r="B410" i="1"/>
  <c r="B414" i="1"/>
  <c r="B418" i="1"/>
  <c r="B422" i="1"/>
  <c r="B426" i="1"/>
  <c r="B430" i="1"/>
  <c r="B434" i="1"/>
  <c r="B438" i="1"/>
  <c r="B442" i="1"/>
  <c r="B446" i="1"/>
  <c r="B450" i="1"/>
  <c r="B454" i="1"/>
  <c r="B458" i="1"/>
  <c r="B462" i="1"/>
  <c r="B466" i="1"/>
  <c r="B470" i="1"/>
  <c r="B474" i="1"/>
  <c r="B478" i="1"/>
  <c r="B482" i="1"/>
  <c r="B486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2" i="1"/>
  <c r="B546" i="1"/>
  <c r="B550" i="1"/>
  <c r="B554" i="1"/>
  <c r="B558" i="1"/>
  <c r="B562" i="1"/>
  <c r="B566" i="1"/>
  <c r="B570" i="1"/>
  <c r="B574" i="1"/>
  <c r="B578" i="1"/>
  <c r="B582" i="1"/>
  <c r="B586" i="1"/>
  <c r="B590" i="1"/>
  <c r="B594" i="1"/>
  <c r="B598" i="1"/>
  <c r="B602" i="1"/>
  <c r="B606" i="1"/>
  <c r="B610" i="1"/>
  <c r="B614" i="1"/>
  <c r="B618" i="1"/>
  <c r="B622" i="1"/>
  <c r="B623" i="1"/>
  <c r="B629" i="1"/>
  <c r="B631" i="1"/>
  <c r="B637" i="1"/>
  <c r="B639" i="1"/>
  <c r="B645" i="1"/>
  <c r="B647" i="1"/>
  <c r="B653" i="1"/>
  <c r="B655" i="1"/>
  <c r="J675" i="1"/>
  <c r="B675" i="1"/>
  <c r="J683" i="1"/>
  <c r="B683" i="1"/>
  <c r="J691" i="1"/>
  <c r="B691" i="1"/>
  <c r="J794" i="1"/>
  <c r="B794" i="1"/>
  <c r="J798" i="1"/>
  <c r="B798" i="1"/>
  <c r="J802" i="1"/>
  <c r="B802" i="1"/>
  <c r="J806" i="1"/>
  <c r="B806" i="1"/>
  <c r="J810" i="1"/>
  <c r="B810" i="1"/>
  <c r="J814" i="1"/>
  <c r="B814" i="1"/>
  <c r="J818" i="1"/>
  <c r="B818" i="1"/>
  <c r="J822" i="1"/>
  <c r="B822" i="1"/>
  <c r="J826" i="1"/>
  <c r="B826" i="1"/>
  <c r="J830" i="1"/>
  <c r="B830" i="1"/>
  <c r="J834" i="1"/>
  <c r="B834" i="1"/>
  <c r="J838" i="1"/>
  <c r="B838" i="1"/>
  <c r="J842" i="1"/>
  <c r="B842" i="1"/>
  <c r="J846" i="1"/>
  <c r="B846" i="1"/>
  <c r="B673" i="1"/>
  <c r="B677" i="1"/>
  <c r="B681" i="1"/>
  <c r="B685" i="1"/>
  <c r="B689" i="1"/>
  <c r="B693" i="1"/>
  <c r="B697" i="1"/>
  <c r="B701" i="1"/>
  <c r="B705" i="1"/>
  <c r="B709" i="1"/>
  <c r="B713" i="1"/>
  <c r="B717" i="1"/>
  <c r="B721" i="1"/>
  <c r="B725" i="1"/>
  <c r="B729" i="1"/>
  <c r="B733" i="1"/>
  <c r="B737" i="1"/>
  <c r="B741" i="1"/>
  <c r="B745" i="1"/>
  <c r="B749" i="1"/>
  <c r="B753" i="1"/>
  <c r="B757" i="1"/>
  <c r="B761" i="1"/>
  <c r="B765" i="1"/>
  <c r="J769" i="1"/>
  <c r="B769" i="1"/>
  <c r="J777" i="1"/>
  <c r="B777" i="1"/>
  <c r="J785" i="1"/>
  <c r="B785" i="1"/>
  <c r="J793" i="1"/>
  <c r="B793" i="1"/>
  <c r="B670" i="1"/>
  <c r="B674" i="1"/>
  <c r="B678" i="1"/>
  <c r="B682" i="1"/>
  <c r="B686" i="1"/>
  <c r="B690" i="1"/>
  <c r="B694" i="1"/>
  <c r="B698" i="1"/>
  <c r="B702" i="1"/>
  <c r="B706" i="1"/>
  <c r="B710" i="1"/>
  <c r="B714" i="1"/>
  <c r="B718" i="1"/>
  <c r="B722" i="1"/>
  <c r="B726" i="1"/>
  <c r="B730" i="1"/>
  <c r="B734" i="1"/>
  <c r="B738" i="1"/>
  <c r="B742" i="1"/>
  <c r="B746" i="1"/>
  <c r="B750" i="1"/>
  <c r="B754" i="1"/>
  <c r="B758" i="1"/>
  <c r="B762" i="1"/>
  <c r="B766" i="1"/>
  <c r="B772" i="1"/>
  <c r="B774" i="1"/>
  <c r="B780" i="1"/>
  <c r="B782" i="1"/>
  <c r="B788" i="1"/>
  <c r="B790" i="1"/>
  <c r="B699" i="1"/>
  <c r="B703" i="1"/>
  <c r="B707" i="1"/>
  <c r="B711" i="1"/>
  <c r="B715" i="1"/>
  <c r="B719" i="1"/>
  <c r="B723" i="1"/>
  <c r="B727" i="1"/>
  <c r="B731" i="1"/>
  <c r="B735" i="1"/>
  <c r="B739" i="1"/>
  <c r="B743" i="1"/>
  <c r="B747" i="1"/>
  <c r="B751" i="1"/>
  <c r="B755" i="1"/>
  <c r="B759" i="1"/>
  <c r="B763" i="1"/>
  <c r="B767" i="1"/>
  <c r="J773" i="1"/>
  <c r="B773" i="1"/>
  <c r="J781" i="1"/>
  <c r="B781" i="1"/>
  <c r="J789" i="1"/>
  <c r="B789" i="1"/>
  <c r="B797" i="1"/>
  <c r="B801" i="1"/>
  <c r="B805" i="1"/>
  <c r="B809" i="1"/>
  <c r="B813" i="1"/>
  <c r="B817" i="1"/>
  <c r="B821" i="1"/>
  <c r="B825" i="1"/>
  <c r="B829" i="1"/>
  <c r="B833" i="1"/>
  <c r="B837" i="1"/>
  <c r="B841" i="1"/>
  <c r="B845" i="1"/>
  <c r="B849" i="1"/>
  <c r="B853" i="1"/>
  <c r="B857" i="1"/>
  <c r="B861" i="1"/>
  <c r="B865" i="1"/>
  <c r="B869" i="1"/>
  <c r="B873" i="1"/>
  <c r="B877" i="1"/>
  <c r="B881" i="1"/>
  <c r="B885" i="1"/>
  <c r="B889" i="1"/>
  <c r="B893" i="1"/>
  <c r="B897" i="1"/>
  <c r="B901" i="1"/>
  <c r="B905" i="1"/>
  <c r="B909" i="1"/>
  <c r="B913" i="1"/>
  <c r="B918" i="1"/>
  <c r="B850" i="1"/>
  <c r="B854" i="1"/>
  <c r="B858" i="1"/>
  <c r="B862" i="1"/>
  <c r="B866" i="1"/>
  <c r="B870" i="1"/>
  <c r="B874" i="1"/>
  <c r="B878" i="1"/>
  <c r="B882" i="1"/>
  <c r="B886" i="1"/>
  <c r="B890" i="1"/>
  <c r="B894" i="1"/>
  <c r="B898" i="1"/>
  <c r="B902" i="1"/>
  <c r="B906" i="1"/>
  <c r="B910" i="1"/>
  <c r="B914" i="1"/>
  <c r="J917" i="1"/>
  <c r="B919" i="1"/>
  <c r="B923" i="1"/>
  <c r="B927" i="1"/>
  <c r="B931" i="1"/>
  <c r="B935" i="1"/>
  <c r="B939" i="1"/>
  <c r="B943" i="1"/>
  <c r="B947" i="1"/>
  <c r="B951" i="1"/>
  <c r="B955" i="1"/>
  <c r="B959" i="1"/>
  <c r="J922" i="1"/>
  <c r="B922" i="1"/>
  <c r="J926" i="1"/>
  <c r="B926" i="1"/>
  <c r="J930" i="1"/>
  <c r="B930" i="1"/>
  <c r="J934" i="1"/>
  <c r="B934" i="1"/>
  <c r="J938" i="1"/>
  <c r="B938" i="1"/>
  <c r="J942" i="1"/>
  <c r="B942" i="1"/>
  <c r="J946" i="1"/>
  <c r="B946" i="1"/>
  <c r="J950" i="1"/>
  <c r="B950" i="1"/>
  <c r="J954" i="1"/>
  <c r="B954" i="1"/>
  <c r="J958" i="1"/>
  <c r="B958" i="1"/>
  <c r="J962" i="1"/>
  <c r="B962" i="1"/>
  <c r="J966" i="1"/>
  <c r="B966" i="1"/>
  <c r="B970" i="1"/>
  <c r="B974" i="1"/>
  <c r="B978" i="1"/>
  <c r="B982" i="1"/>
  <c r="B986" i="1"/>
  <c r="B990" i="1"/>
  <c r="B994" i="1"/>
  <c r="B998" i="1"/>
  <c r="B1002" i="1"/>
  <c r="B1006" i="1"/>
  <c r="B1010" i="1"/>
  <c r="B1014" i="1"/>
  <c r="B1018" i="1"/>
  <c r="B1022" i="1"/>
  <c r="B1026" i="1"/>
  <c r="B1030" i="1"/>
  <c r="B1034" i="1"/>
  <c r="B1038" i="1"/>
  <c r="B1042" i="1"/>
  <c r="B1046" i="1"/>
  <c r="B1050" i="1"/>
  <c r="B1054" i="1"/>
  <c r="B1058" i="1"/>
  <c r="B1062" i="1"/>
  <c r="B1066" i="1"/>
  <c r="B1070" i="1"/>
  <c r="B1074" i="1"/>
  <c r="B1078" i="1"/>
  <c r="B1082" i="1"/>
  <c r="B1064" i="1"/>
  <c r="B1072" i="1"/>
  <c r="B1076" i="1"/>
  <c r="B1080" i="1"/>
  <c r="B1084" i="1"/>
  <c r="B921" i="1"/>
  <c r="B925" i="1"/>
  <c r="B929" i="1"/>
  <c r="B933" i="1"/>
  <c r="B937" i="1"/>
  <c r="B941" i="1"/>
  <c r="B945" i="1"/>
  <c r="B949" i="1"/>
  <c r="B953" i="1"/>
  <c r="B957" i="1"/>
  <c r="B961" i="1"/>
  <c r="B965" i="1"/>
  <c r="B969" i="1"/>
  <c r="B973" i="1"/>
  <c r="B993" i="1"/>
  <c r="B997" i="1"/>
  <c r="B1001" i="1"/>
  <c r="B1005" i="1"/>
  <c r="B1009" i="1"/>
  <c r="B1013" i="1"/>
  <c r="B1017" i="1"/>
  <c r="B1021" i="1"/>
  <c r="B1025" i="1"/>
  <c r="B1029" i="1"/>
  <c r="B1033" i="1"/>
  <c r="B1037" i="1"/>
  <c r="B1041" i="1"/>
  <c r="B1045" i="1"/>
  <c r="B1049" i="1"/>
  <c r="B1053" i="1"/>
  <c r="B1057" i="1"/>
  <c r="B1061" i="1"/>
  <c r="B1065" i="1"/>
  <c r="B1069" i="1"/>
  <c r="B1073" i="1"/>
  <c r="B1077" i="1"/>
  <c r="B1081" i="1"/>
  <c r="B108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13" htmlTables="1" htmlFormat="all"/>
  </connection>
  <connection id="2" name="Connection1" type="4" refreshedVersion="0" background="1">
    <webPr url="http://lottery.merseyworld.com/Euro/archive/Lott000.html" htmlTables="1" htmlFormat="all"/>
  </connection>
</connections>
</file>

<file path=xl/sharedStrings.xml><?xml version="1.0" encoding="utf-8"?>
<sst xmlns="http://schemas.openxmlformats.org/spreadsheetml/2006/main" count="1114" uniqueCount="18">
  <si>
    <t>drawnumber</t>
  </si>
  <si>
    <t>drawdate</t>
  </si>
  <si>
    <t>drawday</t>
  </si>
  <si>
    <t>d</t>
  </si>
  <si>
    <t>dd</t>
  </si>
  <si>
    <t>m</t>
  </si>
  <si>
    <t>mm</t>
  </si>
  <si>
    <t>yyyy</t>
  </si>
  <si>
    <t>filename</t>
  </si>
  <si>
    <t>Link</t>
  </si>
  <si>
    <t>Fri</t>
  </si>
  <si>
    <t>https://www.euro-millions.com/results/13-02-2004</t>
  </si>
  <si>
    <t>https://www.euro-millions.com/results/20-02-2004</t>
  </si>
  <si>
    <t>https://www.euro-millions.com/results/27-02-2004</t>
  </si>
  <si>
    <t>https://www.euro-millions.com/results/05-03-2004</t>
  </si>
  <si>
    <t>https://www.euro-millions.com/results/12-03-2004</t>
  </si>
  <si>
    <t>Tue</t>
  </si>
  <si>
    <t>Link2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</si>
</sst>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164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euro-millions.com/results/13-02-2004" TargetMode="External"/><Relationship Id="rId1" Type="http://schemas.openxmlformats.org/officeDocument/2006/relationships/hyperlink" Target="https://www.euro-millions.com/results/12-03-20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99"/>
  <sheetViews>
    <sheetView tabSelected="1" workbookViewId="0"/>
  </sheetViews>
  <sheetFormatPr defaultRowHeight="15" x14ac:dyDescent="0.25"/>
  <cols>
    <col min="1" max="1" width="12.42578125" bestFit="1" customWidth="1"/>
    <col min="2" max="2" width="10.7109375" style="2" bestFit="1" customWidth="1"/>
    <col min="3" max="3" width="8.5703125" customWidth="1"/>
    <col min="4" max="5" width="3.28515625" customWidth="1"/>
    <col min="6" max="6" width="3" bestFit="1" customWidth="1"/>
    <col min="7" max="7" width="4.42578125" customWidth="1"/>
    <col min="8" max="8" width="5" customWidth="1"/>
    <col min="10" max="10" width="47.85546875" customWidth="1"/>
  </cols>
  <sheetData>
    <row r="1" spans="1:11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17</v>
      </c>
    </row>
    <row r="2" spans="1:11" x14ac:dyDescent="0.25">
      <c r="A2">
        <v>1</v>
      </c>
      <c r="B2" s="2" t="str">
        <f>CONCATENATE(E2,"-",G2,"-",H2)</f>
        <v>13-02-2004</v>
      </c>
      <c r="C2" t="s">
        <v>10</v>
      </c>
      <c r="D2">
        <v>13</v>
      </c>
      <c r="E2" t="str">
        <f>CONCATENATE(IF(LEN(D2)=1,CONCATENATE("0",D2),D2))</f>
        <v>13</v>
      </c>
      <c r="F2">
        <v>2</v>
      </c>
      <c r="G2" t="str">
        <f>CONCATENATE(IF(LEN(F2)=1,CONCATENATE("0",F2),F2))</f>
        <v>02</v>
      </c>
      <c r="H2">
        <v>2004</v>
      </c>
      <c r="I2" t="str">
        <f>CONCATENATE(H2,IF(LEN(F2)=1,CONCATENATE("0",F2),F2))</f>
        <v>200402</v>
      </c>
      <c r="J2" s="1" t="s">
        <v>11</v>
      </c>
      <c r="K2" t="str">
        <f>CONCATENATE("http://lottery.merseyworld.com/Euro/archive/Lott",RIGHT(CONCATENATE("00",A2),3),".html")</f>
        <v>http://lottery.merseyworld.com/Euro/archive/Lott001.html</v>
      </c>
    </row>
    <row r="3" spans="1:11" x14ac:dyDescent="0.25">
      <c r="A3">
        <v>2</v>
      </c>
      <c r="B3" s="2" t="str">
        <f t="shared" ref="B3:B66" si="0">CONCATENATE(E3,"-",G3,"-",H3)</f>
        <v>20-02-2004</v>
      </c>
      <c r="C3" t="s">
        <v>10</v>
      </c>
      <c r="D3">
        <v>20</v>
      </c>
      <c r="E3" t="str">
        <f t="shared" ref="E3:E66" si="1">CONCATENATE(IF(LEN(D3)=1,CONCATENATE("0",D3),D3))</f>
        <v>20</v>
      </c>
      <c r="F3">
        <v>2</v>
      </c>
      <c r="G3" t="str">
        <f t="shared" ref="G3:G66" si="2">CONCATENATE(IF(LEN(F3)=1,CONCATENATE("0",F3),F3))</f>
        <v>02</v>
      </c>
      <c r="H3">
        <v>2004</v>
      </c>
      <c r="I3" t="str">
        <f t="shared" ref="I3:I66" si="3">CONCATENATE(H3,IF(LEN(F3)=1,CONCATENATE("0",F3),F3))</f>
        <v>200402</v>
      </c>
      <c r="J3" t="s">
        <v>12</v>
      </c>
      <c r="K3" t="str">
        <f t="shared" ref="K3:K66" si="4">CONCATENATE("http://lottery.merseyworld.com/Euro/archive/Lott",RIGHT(CONCATENATE("00",A3),3),".html")</f>
        <v>http://lottery.merseyworld.com/Euro/archive/Lott002.html</v>
      </c>
    </row>
    <row r="4" spans="1:11" x14ac:dyDescent="0.25">
      <c r="A4">
        <v>3</v>
      </c>
      <c r="B4" s="2" t="str">
        <f t="shared" si="0"/>
        <v>27-02-2004</v>
      </c>
      <c r="C4" t="s">
        <v>10</v>
      </c>
      <c r="D4">
        <v>27</v>
      </c>
      <c r="E4" t="str">
        <f t="shared" si="1"/>
        <v>27</v>
      </c>
      <c r="F4">
        <v>2</v>
      </c>
      <c r="G4" t="str">
        <f t="shared" si="2"/>
        <v>02</v>
      </c>
      <c r="H4">
        <v>2004</v>
      </c>
      <c r="I4" t="str">
        <f t="shared" si="3"/>
        <v>200402</v>
      </c>
      <c r="J4" t="s">
        <v>13</v>
      </c>
      <c r="K4" t="str">
        <f t="shared" si="4"/>
        <v>http://lottery.merseyworld.com/Euro/archive/Lott003.html</v>
      </c>
    </row>
    <row r="5" spans="1:11" x14ac:dyDescent="0.25">
      <c r="A5">
        <v>4</v>
      </c>
      <c r="B5" s="2" t="str">
        <f t="shared" si="0"/>
        <v>05-03-2004</v>
      </c>
      <c r="C5" t="s">
        <v>10</v>
      </c>
      <c r="D5">
        <v>5</v>
      </c>
      <c r="E5" t="str">
        <f t="shared" si="1"/>
        <v>05</v>
      </c>
      <c r="F5">
        <v>3</v>
      </c>
      <c r="G5" t="str">
        <f t="shared" si="2"/>
        <v>03</v>
      </c>
      <c r="H5">
        <v>2004</v>
      </c>
      <c r="I5" t="str">
        <f t="shared" si="3"/>
        <v>200403</v>
      </c>
      <c r="J5" t="s">
        <v>14</v>
      </c>
      <c r="K5" t="str">
        <f t="shared" si="4"/>
        <v>http://lottery.merseyworld.com/Euro/archive/Lott004.html</v>
      </c>
    </row>
    <row r="6" spans="1:11" x14ac:dyDescent="0.25">
      <c r="A6">
        <v>5</v>
      </c>
      <c r="B6" s="2" t="str">
        <f t="shared" si="0"/>
        <v>12-03-2004</v>
      </c>
      <c r="C6" t="s">
        <v>10</v>
      </c>
      <c r="D6">
        <v>12</v>
      </c>
      <c r="E6" t="str">
        <f t="shared" si="1"/>
        <v>12</v>
      </c>
      <c r="F6">
        <v>3</v>
      </c>
      <c r="G6" t="str">
        <f t="shared" si="2"/>
        <v>03</v>
      </c>
      <c r="H6">
        <v>2004</v>
      </c>
      <c r="I6" t="str">
        <f t="shared" si="3"/>
        <v>200403</v>
      </c>
      <c r="J6" s="1" t="s">
        <v>15</v>
      </c>
      <c r="K6" t="str">
        <f t="shared" si="4"/>
        <v>http://lottery.merseyworld.com/Euro/archive/Lott005.html</v>
      </c>
    </row>
    <row r="7" spans="1:11" x14ac:dyDescent="0.25">
      <c r="A7">
        <v>6</v>
      </c>
      <c r="B7" s="2" t="str">
        <f t="shared" si="0"/>
        <v>19-03-2004</v>
      </c>
      <c r="C7" t="s">
        <v>10</v>
      </c>
      <c r="D7">
        <v>19</v>
      </c>
      <c r="E7" t="str">
        <f t="shared" si="1"/>
        <v>19</v>
      </c>
      <c r="F7">
        <v>3</v>
      </c>
      <c r="G7" t="str">
        <f t="shared" si="2"/>
        <v>03</v>
      </c>
      <c r="H7">
        <v>2004</v>
      </c>
      <c r="I7" t="str">
        <f t="shared" si="3"/>
        <v>200403</v>
      </c>
      <c r="J7" t="str">
        <f>CONCATENATE("https://www.euro-millions.com/results/",E7,"-",G7,"-",H7)</f>
        <v>https://www.euro-millions.com/results/19-03-2004</v>
      </c>
      <c r="K7" t="str">
        <f t="shared" si="4"/>
        <v>http://lottery.merseyworld.com/Euro/archive/Lott006.html</v>
      </c>
    </row>
    <row r="8" spans="1:11" x14ac:dyDescent="0.25">
      <c r="A8">
        <v>7</v>
      </c>
      <c r="B8" s="2" t="str">
        <f t="shared" si="0"/>
        <v>26-03-2004</v>
      </c>
      <c r="C8" t="s">
        <v>10</v>
      </c>
      <c r="D8">
        <v>26</v>
      </c>
      <c r="E8" t="str">
        <f t="shared" si="1"/>
        <v>26</v>
      </c>
      <c r="F8">
        <v>3</v>
      </c>
      <c r="G8" t="str">
        <f t="shared" si="2"/>
        <v>03</v>
      </c>
      <c r="H8">
        <v>2004</v>
      </c>
      <c r="I8" t="str">
        <f t="shared" si="3"/>
        <v>200403</v>
      </c>
      <c r="J8" t="str">
        <f t="shared" ref="J8:J71" si="5">CONCATENATE("https://www.euro-millions.com/results/",E8,"-",G8,"-",H8)</f>
        <v>https://www.euro-millions.com/results/26-03-2004</v>
      </c>
      <c r="K8" t="str">
        <f t="shared" si="4"/>
        <v>http://lottery.merseyworld.com/Euro/archive/Lott007.html</v>
      </c>
    </row>
    <row r="9" spans="1:11" x14ac:dyDescent="0.25">
      <c r="A9">
        <v>8</v>
      </c>
      <c r="B9" s="2" t="str">
        <f t="shared" si="0"/>
        <v>02-04-2004</v>
      </c>
      <c r="C9" t="s">
        <v>10</v>
      </c>
      <c r="D9">
        <v>2</v>
      </c>
      <c r="E9" t="str">
        <f t="shared" si="1"/>
        <v>02</v>
      </c>
      <c r="F9">
        <v>4</v>
      </c>
      <c r="G9" t="str">
        <f t="shared" si="2"/>
        <v>04</v>
      </c>
      <c r="H9">
        <v>2004</v>
      </c>
      <c r="I9" t="str">
        <f t="shared" si="3"/>
        <v>200404</v>
      </c>
      <c r="J9" t="str">
        <f t="shared" si="5"/>
        <v>https://www.euro-millions.com/results/02-04-2004</v>
      </c>
      <c r="K9" t="str">
        <f t="shared" si="4"/>
        <v>http://lottery.merseyworld.com/Euro/archive/Lott008.html</v>
      </c>
    </row>
    <row r="10" spans="1:11" x14ac:dyDescent="0.25">
      <c r="A10">
        <v>9</v>
      </c>
      <c r="B10" s="2" t="str">
        <f t="shared" si="0"/>
        <v>09-04-2004</v>
      </c>
      <c r="C10" t="s">
        <v>10</v>
      </c>
      <c r="D10">
        <v>9</v>
      </c>
      <c r="E10" t="str">
        <f t="shared" si="1"/>
        <v>09</v>
      </c>
      <c r="F10">
        <v>4</v>
      </c>
      <c r="G10" t="str">
        <f t="shared" si="2"/>
        <v>04</v>
      </c>
      <c r="H10">
        <v>2004</v>
      </c>
      <c r="I10" t="str">
        <f t="shared" si="3"/>
        <v>200404</v>
      </c>
      <c r="J10" t="str">
        <f t="shared" si="5"/>
        <v>https://www.euro-millions.com/results/09-04-2004</v>
      </c>
      <c r="K10" t="str">
        <f t="shared" si="4"/>
        <v>http://lottery.merseyworld.com/Euro/archive/Lott009.html</v>
      </c>
    </row>
    <row r="11" spans="1:11" x14ac:dyDescent="0.25">
      <c r="A11">
        <v>10</v>
      </c>
      <c r="B11" s="2" t="str">
        <f t="shared" si="0"/>
        <v>16-04-2004</v>
      </c>
      <c r="C11" t="s">
        <v>10</v>
      </c>
      <c r="D11">
        <v>16</v>
      </c>
      <c r="E11" t="str">
        <f t="shared" si="1"/>
        <v>16</v>
      </c>
      <c r="F11">
        <v>4</v>
      </c>
      <c r="G11" t="str">
        <f t="shared" si="2"/>
        <v>04</v>
      </c>
      <c r="H11">
        <v>2004</v>
      </c>
      <c r="I11" t="str">
        <f t="shared" si="3"/>
        <v>200404</v>
      </c>
      <c r="J11" t="str">
        <f t="shared" si="5"/>
        <v>https://www.euro-millions.com/results/16-04-2004</v>
      </c>
      <c r="K11" t="str">
        <f t="shared" si="4"/>
        <v>http://lottery.merseyworld.com/Euro/archive/Lott010.html</v>
      </c>
    </row>
    <row r="12" spans="1:11" x14ac:dyDescent="0.25">
      <c r="A12">
        <v>11</v>
      </c>
      <c r="B12" s="2" t="str">
        <f t="shared" si="0"/>
        <v>23-04-2004</v>
      </c>
      <c r="C12" t="s">
        <v>10</v>
      </c>
      <c r="D12">
        <v>23</v>
      </c>
      <c r="E12" t="str">
        <f t="shared" si="1"/>
        <v>23</v>
      </c>
      <c r="F12">
        <v>4</v>
      </c>
      <c r="G12" t="str">
        <f t="shared" si="2"/>
        <v>04</v>
      </c>
      <c r="H12">
        <v>2004</v>
      </c>
      <c r="I12" t="str">
        <f t="shared" si="3"/>
        <v>200404</v>
      </c>
      <c r="J12" t="str">
        <f t="shared" si="5"/>
        <v>https://www.euro-millions.com/results/23-04-2004</v>
      </c>
      <c r="K12" t="str">
        <f t="shared" si="4"/>
        <v>http://lottery.merseyworld.com/Euro/archive/Lott011.html</v>
      </c>
    </row>
    <row r="13" spans="1:11" x14ac:dyDescent="0.25">
      <c r="A13">
        <v>12</v>
      </c>
      <c r="B13" s="2" t="str">
        <f t="shared" si="0"/>
        <v>30-04-2004</v>
      </c>
      <c r="C13" t="s">
        <v>10</v>
      </c>
      <c r="D13">
        <v>30</v>
      </c>
      <c r="E13" t="str">
        <f t="shared" si="1"/>
        <v>30</v>
      </c>
      <c r="F13">
        <v>4</v>
      </c>
      <c r="G13" t="str">
        <f t="shared" si="2"/>
        <v>04</v>
      </c>
      <c r="H13">
        <v>2004</v>
      </c>
      <c r="I13" t="str">
        <f t="shared" si="3"/>
        <v>200404</v>
      </c>
      <c r="J13" t="str">
        <f t="shared" si="5"/>
        <v>https://www.euro-millions.com/results/30-04-2004</v>
      </c>
      <c r="K13" t="str">
        <f t="shared" si="4"/>
        <v>http://lottery.merseyworld.com/Euro/archive/Lott012.html</v>
      </c>
    </row>
    <row r="14" spans="1:11" x14ac:dyDescent="0.25">
      <c r="A14">
        <v>13</v>
      </c>
      <c r="B14" s="2" t="str">
        <f t="shared" si="0"/>
        <v>07-05-2004</v>
      </c>
      <c r="C14" t="s">
        <v>10</v>
      </c>
      <c r="D14">
        <v>7</v>
      </c>
      <c r="E14" t="str">
        <f t="shared" si="1"/>
        <v>07</v>
      </c>
      <c r="F14">
        <v>5</v>
      </c>
      <c r="G14" t="str">
        <f t="shared" si="2"/>
        <v>05</v>
      </c>
      <c r="H14">
        <v>2004</v>
      </c>
      <c r="I14" t="str">
        <f t="shared" si="3"/>
        <v>200405</v>
      </c>
      <c r="J14" t="str">
        <f t="shared" si="5"/>
        <v>https://www.euro-millions.com/results/07-05-2004</v>
      </c>
      <c r="K14" t="str">
        <f t="shared" si="4"/>
        <v>http://lottery.merseyworld.com/Euro/archive/Lott013.html</v>
      </c>
    </row>
    <row r="15" spans="1:11" x14ac:dyDescent="0.25">
      <c r="A15">
        <v>14</v>
      </c>
      <c r="B15" s="2" t="str">
        <f t="shared" si="0"/>
        <v>14-05-2004</v>
      </c>
      <c r="C15" t="s">
        <v>10</v>
      </c>
      <c r="D15">
        <v>14</v>
      </c>
      <c r="E15" t="str">
        <f t="shared" si="1"/>
        <v>14</v>
      </c>
      <c r="F15">
        <v>5</v>
      </c>
      <c r="G15" t="str">
        <f t="shared" si="2"/>
        <v>05</v>
      </c>
      <c r="H15">
        <v>2004</v>
      </c>
      <c r="I15" t="str">
        <f t="shared" si="3"/>
        <v>200405</v>
      </c>
      <c r="J15" t="str">
        <f t="shared" si="5"/>
        <v>https://www.euro-millions.com/results/14-05-2004</v>
      </c>
      <c r="K15" t="str">
        <f t="shared" si="4"/>
        <v>http://lottery.merseyworld.com/Euro/archive/Lott014.html</v>
      </c>
    </row>
    <row r="16" spans="1:11" x14ac:dyDescent="0.25">
      <c r="A16">
        <v>15</v>
      </c>
      <c r="B16" s="2" t="str">
        <f t="shared" si="0"/>
        <v>21-05-2004</v>
      </c>
      <c r="C16" t="s">
        <v>10</v>
      </c>
      <c r="D16">
        <v>21</v>
      </c>
      <c r="E16" t="str">
        <f t="shared" si="1"/>
        <v>21</v>
      </c>
      <c r="F16">
        <v>5</v>
      </c>
      <c r="G16" t="str">
        <f t="shared" si="2"/>
        <v>05</v>
      </c>
      <c r="H16">
        <v>2004</v>
      </c>
      <c r="I16" t="str">
        <f t="shared" si="3"/>
        <v>200405</v>
      </c>
      <c r="J16" t="str">
        <f t="shared" si="5"/>
        <v>https://www.euro-millions.com/results/21-05-2004</v>
      </c>
      <c r="K16" t="str">
        <f t="shared" si="4"/>
        <v>http://lottery.merseyworld.com/Euro/archive/Lott015.html</v>
      </c>
    </row>
    <row r="17" spans="1:11" x14ac:dyDescent="0.25">
      <c r="A17">
        <v>16</v>
      </c>
      <c r="B17" s="2" t="str">
        <f t="shared" si="0"/>
        <v>28-05-2004</v>
      </c>
      <c r="C17" t="s">
        <v>10</v>
      </c>
      <c r="D17">
        <v>28</v>
      </c>
      <c r="E17" t="str">
        <f t="shared" si="1"/>
        <v>28</v>
      </c>
      <c r="F17">
        <v>5</v>
      </c>
      <c r="G17" t="str">
        <f t="shared" si="2"/>
        <v>05</v>
      </c>
      <c r="H17">
        <v>2004</v>
      </c>
      <c r="I17" t="str">
        <f t="shared" si="3"/>
        <v>200405</v>
      </c>
      <c r="J17" t="str">
        <f t="shared" si="5"/>
        <v>https://www.euro-millions.com/results/28-05-2004</v>
      </c>
      <c r="K17" t="str">
        <f t="shared" si="4"/>
        <v>http://lottery.merseyworld.com/Euro/archive/Lott016.html</v>
      </c>
    </row>
    <row r="18" spans="1:11" x14ac:dyDescent="0.25">
      <c r="A18">
        <v>17</v>
      </c>
      <c r="B18" s="2" t="str">
        <f t="shared" si="0"/>
        <v>04-06-2004</v>
      </c>
      <c r="C18" t="s">
        <v>10</v>
      </c>
      <c r="D18">
        <v>4</v>
      </c>
      <c r="E18" t="str">
        <f t="shared" si="1"/>
        <v>04</v>
      </c>
      <c r="F18">
        <v>6</v>
      </c>
      <c r="G18" t="str">
        <f t="shared" si="2"/>
        <v>06</v>
      </c>
      <c r="H18">
        <v>2004</v>
      </c>
      <c r="I18" t="str">
        <f t="shared" si="3"/>
        <v>200406</v>
      </c>
      <c r="J18" t="str">
        <f t="shared" si="5"/>
        <v>https://www.euro-millions.com/results/04-06-2004</v>
      </c>
      <c r="K18" t="str">
        <f t="shared" si="4"/>
        <v>http://lottery.merseyworld.com/Euro/archive/Lott017.html</v>
      </c>
    </row>
    <row r="19" spans="1:11" x14ac:dyDescent="0.25">
      <c r="A19">
        <v>18</v>
      </c>
      <c r="B19" s="2" t="str">
        <f t="shared" si="0"/>
        <v>11-06-2004</v>
      </c>
      <c r="C19" t="s">
        <v>10</v>
      </c>
      <c r="D19">
        <v>11</v>
      </c>
      <c r="E19" t="str">
        <f t="shared" si="1"/>
        <v>11</v>
      </c>
      <c r="F19">
        <v>6</v>
      </c>
      <c r="G19" t="str">
        <f t="shared" si="2"/>
        <v>06</v>
      </c>
      <c r="H19">
        <v>2004</v>
      </c>
      <c r="I19" t="str">
        <f t="shared" si="3"/>
        <v>200406</v>
      </c>
      <c r="J19" t="str">
        <f t="shared" si="5"/>
        <v>https://www.euro-millions.com/results/11-06-2004</v>
      </c>
      <c r="K19" t="str">
        <f t="shared" si="4"/>
        <v>http://lottery.merseyworld.com/Euro/archive/Lott018.html</v>
      </c>
    </row>
    <row r="20" spans="1:11" x14ac:dyDescent="0.25">
      <c r="A20">
        <v>19</v>
      </c>
      <c r="B20" s="2" t="str">
        <f t="shared" si="0"/>
        <v>18-06-2004</v>
      </c>
      <c r="C20" t="s">
        <v>10</v>
      </c>
      <c r="D20">
        <v>18</v>
      </c>
      <c r="E20" t="str">
        <f t="shared" si="1"/>
        <v>18</v>
      </c>
      <c r="F20">
        <v>6</v>
      </c>
      <c r="G20" t="str">
        <f t="shared" si="2"/>
        <v>06</v>
      </c>
      <c r="H20">
        <v>2004</v>
      </c>
      <c r="I20" t="str">
        <f t="shared" si="3"/>
        <v>200406</v>
      </c>
      <c r="J20" t="str">
        <f t="shared" si="5"/>
        <v>https://www.euro-millions.com/results/18-06-2004</v>
      </c>
      <c r="K20" t="str">
        <f t="shared" si="4"/>
        <v>http://lottery.merseyworld.com/Euro/archive/Lott019.html</v>
      </c>
    </row>
    <row r="21" spans="1:11" x14ac:dyDescent="0.25">
      <c r="A21">
        <v>20</v>
      </c>
      <c r="B21" s="2" t="str">
        <f t="shared" si="0"/>
        <v>25-06-2004</v>
      </c>
      <c r="C21" t="s">
        <v>10</v>
      </c>
      <c r="D21">
        <v>25</v>
      </c>
      <c r="E21" t="str">
        <f t="shared" si="1"/>
        <v>25</v>
      </c>
      <c r="F21">
        <v>6</v>
      </c>
      <c r="G21" t="str">
        <f t="shared" si="2"/>
        <v>06</v>
      </c>
      <c r="H21">
        <v>2004</v>
      </c>
      <c r="I21" t="str">
        <f t="shared" si="3"/>
        <v>200406</v>
      </c>
      <c r="J21" t="str">
        <f t="shared" si="5"/>
        <v>https://www.euro-millions.com/results/25-06-2004</v>
      </c>
      <c r="K21" t="str">
        <f t="shared" si="4"/>
        <v>http://lottery.merseyworld.com/Euro/archive/Lott020.html</v>
      </c>
    </row>
    <row r="22" spans="1:11" x14ac:dyDescent="0.25">
      <c r="A22">
        <v>21</v>
      </c>
      <c r="B22" s="2" t="str">
        <f t="shared" si="0"/>
        <v>02-07-2004</v>
      </c>
      <c r="C22" t="s">
        <v>10</v>
      </c>
      <c r="D22">
        <v>2</v>
      </c>
      <c r="E22" t="str">
        <f t="shared" si="1"/>
        <v>02</v>
      </c>
      <c r="F22">
        <v>7</v>
      </c>
      <c r="G22" t="str">
        <f t="shared" si="2"/>
        <v>07</v>
      </c>
      <c r="H22">
        <v>2004</v>
      </c>
      <c r="I22" t="str">
        <f t="shared" si="3"/>
        <v>200407</v>
      </c>
      <c r="J22" t="str">
        <f t="shared" si="5"/>
        <v>https://www.euro-millions.com/results/02-07-2004</v>
      </c>
      <c r="K22" t="str">
        <f t="shared" si="4"/>
        <v>http://lottery.merseyworld.com/Euro/archive/Lott021.html</v>
      </c>
    </row>
    <row r="23" spans="1:11" x14ac:dyDescent="0.25">
      <c r="A23">
        <v>22</v>
      </c>
      <c r="B23" s="2" t="str">
        <f t="shared" si="0"/>
        <v>09-07-2004</v>
      </c>
      <c r="C23" t="s">
        <v>10</v>
      </c>
      <c r="D23">
        <v>9</v>
      </c>
      <c r="E23" t="str">
        <f t="shared" si="1"/>
        <v>09</v>
      </c>
      <c r="F23">
        <v>7</v>
      </c>
      <c r="G23" t="str">
        <f t="shared" si="2"/>
        <v>07</v>
      </c>
      <c r="H23">
        <v>2004</v>
      </c>
      <c r="I23" t="str">
        <f t="shared" si="3"/>
        <v>200407</v>
      </c>
      <c r="J23" t="str">
        <f t="shared" si="5"/>
        <v>https://www.euro-millions.com/results/09-07-2004</v>
      </c>
      <c r="K23" t="str">
        <f t="shared" si="4"/>
        <v>http://lottery.merseyworld.com/Euro/archive/Lott022.html</v>
      </c>
    </row>
    <row r="24" spans="1:11" x14ac:dyDescent="0.25">
      <c r="A24">
        <v>23</v>
      </c>
      <c r="B24" s="2" t="str">
        <f t="shared" si="0"/>
        <v>16-07-2004</v>
      </c>
      <c r="C24" t="s">
        <v>10</v>
      </c>
      <c r="D24">
        <v>16</v>
      </c>
      <c r="E24" t="str">
        <f t="shared" si="1"/>
        <v>16</v>
      </c>
      <c r="F24">
        <v>7</v>
      </c>
      <c r="G24" t="str">
        <f t="shared" si="2"/>
        <v>07</v>
      </c>
      <c r="H24">
        <v>2004</v>
      </c>
      <c r="I24" t="str">
        <f t="shared" si="3"/>
        <v>200407</v>
      </c>
      <c r="J24" t="str">
        <f t="shared" si="5"/>
        <v>https://www.euro-millions.com/results/16-07-2004</v>
      </c>
      <c r="K24" t="str">
        <f t="shared" si="4"/>
        <v>http://lottery.merseyworld.com/Euro/archive/Lott023.html</v>
      </c>
    </row>
    <row r="25" spans="1:11" x14ac:dyDescent="0.25">
      <c r="A25">
        <v>24</v>
      </c>
      <c r="B25" s="2" t="str">
        <f t="shared" si="0"/>
        <v>23-07-2004</v>
      </c>
      <c r="C25" t="s">
        <v>10</v>
      </c>
      <c r="D25">
        <v>23</v>
      </c>
      <c r="E25" t="str">
        <f t="shared" si="1"/>
        <v>23</v>
      </c>
      <c r="F25">
        <v>7</v>
      </c>
      <c r="G25" t="str">
        <f t="shared" si="2"/>
        <v>07</v>
      </c>
      <c r="H25">
        <v>2004</v>
      </c>
      <c r="I25" t="str">
        <f t="shared" si="3"/>
        <v>200407</v>
      </c>
      <c r="J25" t="str">
        <f t="shared" si="5"/>
        <v>https://www.euro-millions.com/results/23-07-2004</v>
      </c>
      <c r="K25" t="str">
        <f t="shared" si="4"/>
        <v>http://lottery.merseyworld.com/Euro/archive/Lott024.html</v>
      </c>
    </row>
    <row r="26" spans="1:11" x14ac:dyDescent="0.25">
      <c r="A26">
        <v>25</v>
      </c>
      <c r="B26" s="2" t="str">
        <f t="shared" si="0"/>
        <v>30-07-2004</v>
      </c>
      <c r="C26" t="s">
        <v>10</v>
      </c>
      <c r="D26">
        <v>30</v>
      </c>
      <c r="E26" t="str">
        <f t="shared" si="1"/>
        <v>30</v>
      </c>
      <c r="F26">
        <v>7</v>
      </c>
      <c r="G26" t="str">
        <f t="shared" si="2"/>
        <v>07</v>
      </c>
      <c r="H26">
        <v>2004</v>
      </c>
      <c r="I26" t="str">
        <f t="shared" si="3"/>
        <v>200407</v>
      </c>
      <c r="J26" t="str">
        <f t="shared" si="5"/>
        <v>https://www.euro-millions.com/results/30-07-2004</v>
      </c>
      <c r="K26" t="str">
        <f t="shared" si="4"/>
        <v>http://lottery.merseyworld.com/Euro/archive/Lott025.html</v>
      </c>
    </row>
    <row r="27" spans="1:11" x14ac:dyDescent="0.25">
      <c r="A27">
        <v>26</v>
      </c>
      <c r="B27" s="2" t="str">
        <f t="shared" si="0"/>
        <v>06-08-2004</v>
      </c>
      <c r="C27" t="s">
        <v>10</v>
      </c>
      <c r="D27">
        <v>6</v>
      </c>
      <c r="E27" t="str">
        <f t="shared" si="1"/>
        <v>06</v>
      </c>
      <c r="F27">
        <v>8</v>
      </c>
      <c r="G27" t="str">
        <f t="shared" si="2"/>
        <v>08</v>
      </c>
      <c r="H27">
        <v>2004</v>
      </c>
      <c r="I27" t="str">
        <f t="shared" si="3"/>
        <v>200408</v>
      </c>
      <c r="J27" t="str">
        <f t="shared" si="5"/>
        <v>https://www.euro-millions.com/results/06-08-2004</v>
      </c>
      <c r="K27" t="str">
        <f t="shared" si="4"/>
        <v>http://lottery.merseyworld.com/Euro/archive/Lott026.html</v>
      </c>
    </row>
    <row r="28" spans="1:11" x14ac:dyDescent="0.25">
      <c r="A28">
        <v>27</v>
      </c>
      <c r="B28" s="2" t="str">
        <f t="shared" si="0"/>
        <v>13-08-2004</v>
      </c>
      <c r="C28" t="s">
        <v>10</v>
      </c>
      <c r="D28">
        <v>13</v>
      </c>
      <c r="E28" t="str">
        <f t="shared" si="1"/>
        <v>13</v>
      </c>
      <c r="F28">
        <v>8</v>
      </c>
      <c r="G28" t="str">
        <f t="shared" si="2"/>
        <v>08</v>
      </c>
      <c r="H28">
        <v>2004</v>
      </c>
      <c r="I28" t="str">
        <f t="shared" si="3"/>
        <v>200408</v>
      </c>
      <c r="J28" t="str">
        <f t="shared" si="5"/>
        <v>https://www.euro-millions.com/results/13-08-2004</v>
      </c>
      <c r="K28" t="str">
        <f t="shared" si="4"/>
        <v>http://lottery.merseyworld.com/Euro/archive/Lott027.html</v>
      </c>
    </row>
    <row r="29" spans="1:11" x14ac:dyDescent="0.25">
      <c r="A29">
        <v>28</v>
      </c>
      <c r="B29" s="2" t="str">
        <f t="shared" si="0"/>
        <v>20-08-2004</v>
      </c>
      <c r="C29" t="s">
        <v>10</v>
      </c>
      <c r="D29">
        <v>20</v>
      </c>
      <c r="E29" t="str">
        <f t="shared" si="1"/>
        <v>20</v>
      </c>
      <c r="F29">
        <v>8</v>
      </c>
      <c r="G29" t="str">
        <f t="shared" si="2"/>
        <v>08</v>
      </c>
      <c r="H29">
        <v>2004</v>
      </c>
      <c r="I29" t="str">
        <f t="shared" si="3"/>
        <v>200408</v>
      </c>
      <c r="J29" t="str">
        <f t="shared" si="5"/>
        <v>https://www.euro-millions.com/results/20-08-2004</v>
      </c>
      <c r="K29" t="str">
        <f t="shared" si="4"/>
        <v>http://lottery.merseyworld.com/Euro/archive/Lott028.html</v>
      </c>
    </row>
    <row r="30" spans="1:11" x14ac:dyDescent="0.25">
      <c r="A30">
        <v>29</v>
      </c>
      <c r="B30" s="2" t="str">
        <f t="shared" si="0"/>
        <v>27-08-2004</v>
      </c>
      <c r="C30" t="s">
        <v>10</v>
      </c>
      <c r="D30">
        <v>27</v>
      </c>
      <c r="E30" t="str">
        <f t="shared" si="1"/>
        <v>27</v>
      </c>
      <c r="F30">
        <v>8</v>
      </c>
      <c r="G30" t="str">
        <f t="shared" si="2"/>
        <v>08</v>
      </c>
      <c r="H30">
        <v>2004</v>
      </c>
      <c r="I30" t="str">
        <f t="shared" si="3"/>
        <v>200408</v>
      </c>
      <c r="J30" t="str">
        <f t="shared" si="5"/>
        <v>https://www.euro-millions.com/results/27-08-2004</v>
      </c>
      <c r="K30" t="str">
        <f t="shared" si="4"/>
        <v>http://lottery.merseyworld.com/Euro/archive/Lott029.html</v>
      </c>
    </row>
    <row r="31" spans="1:11" x14ac:dyDescent="0.25">
      <c r="A31">
        <v>30</v>
      </c>
      <c r="B31" s="2" t="str">
        <f t="shared" si="0"/>
        <v>03-09-2004</v>
      </c>
      <c r="C31" t="s">
        <v>10</v>
      </c>
      <c r="D31">
        <v>3</v>
      </c>
      <c r="E31" t="str">
        <f t="shared" si="1"/>
        <v>03</v>
      </c>
      <c r="F31">
        <v>9</v>
      </c>
      <c r="G31" t="str">
        <f t="shared" si="2"/>
        <v>09</v>
      </c>
      <c r="H31">
        <v>2004</v>
      </c>
      <c r="I31" t="str">
        <f t="shared" si="3"/>
        <v>200409</v>
      </c>
      <c r="J31" t="str">
        <f t="shared" si="5"/>
        <v>https://www.euro-millions.com/results/03-09-2004</v>
      </c>
      <c r="K31" t="str">
        <f t="shared" si="4"/>
        <v>http://lottery.merseyworld.com/Euro/archive/Lott030.html</v>
      </c>
    </row>
    <row r="32" spans="1:11" x14ac:dyDescent="0.25">
      <c r="A32">
        <v>31</v>
      </c>
      <c r="B32" s="2" t="str">
        <f t="shared" si="0"/>
        <v>10-09-2004</v>
      </c>
      <c r="C32" t="s">
        <v>10</v>
      </c>
      <c r="D32">
        <v>10</v>
      </c>
      <c r="E32" t="str">
        <f t="shared" si="1"/>
        <v>10</v>
      </c>
      <c r="F32">
        <v>9</v>
      </c>
      <c r="G32" t="str">
        <f t="shared" si="2"/>
        <v>09</v>
      </c>
      <c r="H32">
        <v>2004</v>
      </c>
      <c r="I32" t="str">
        <f t="shared" si="3"/>
        <v>200409</v>
      </c>
      <c r="J32" t="str">
        <f t="shared" si="5"/>
        <v>https://www.euro-millions.com/results/10-09-2004</v>
      </c>
      <c r="K32" t="str">
        <f t="shared" si="4"/>
        <v>http://lottery.merseyworld.com/Euro/archive/Lott031.html</v>
      </c>
    </row>
    <row r="33" spans="1:11" x14ac:dyDescent="0.25">
      <c r="A33">
        <v>32</v>
      </c>
      <c r="B33" s="2" t="str">
        <f t="shared" si="0"/>
        <v>17-09-2004</v>
      </c>
      <c r="C33" t="s">
        <v>10</v>
      </c>
      <c r="D33">
        <v>17</v>
      </c>
      <c r="E33" t="str">
        <f t="shared" si="1"/>
        <v>17</v>
      </c>
      <c r="F33">
        <v>9</v>
      </c>
      <c r="G33" t="str">
        <f t="shared" si="2"/>
        <v>09</v>
      </c>
      <c r="H33">
        <v>2004</v>
      </c>
      <c r="I33" t="str">
        <f t="shared" si="3"/>
        <v>200409</v>
      </c>
      <c r="J33" t="str">
        <f t="shared" si="5"/>
        <v>https://www.euro-millions.com/results/17-09-2004</v>
      </c>
      <c r="K33" t="str">
        <f t="shared" si="4"/>
        <v>http://lottery.merseyworld.com/Euro/archive/Lott032.html</v>
      </c>
    </row>
    <row r="34" spans="1:11" x14ac:dyDescent="0.25">
      <c r="A34">
        <v>33</v>
      </c>
      <c r="B34" s="2" t="str">
        <f t="shared" si="0"/>
        <v>24-09-2004</v>
      </c>
      <c r="C34" t="s">
        <v>10</v>
      </c>
      <c r="D34">
        <v>24</v>
      </c>
      <c r="E34" t="str">
        <f t="shared" si="1"/>
        <v>24</v>
      </c>
      <c r="F34">
        <v>9</v>
      </c>
      <c r="G34" t="str">
        <f t="shared" si="2"/>
        <v>09</v>
      </c>
      <c r="H34">
        <v>2004</v>
      </c>
      <c r="I34" t="str">
        <f t="shared" si="3"/>
        <v>200409</v>
      </c>
      <c r="J34" t="str">
        <f t="shared" si="5"/>
        <v>https://www.euro-millions.com/results/24-09-2004</v>
      </c>
      <c r="K34" t="str">
        <f t="shared" si="4"/>
        <v>http://lottery.merseyworld.com/Euro/archive/Lott033.html</v>
      </c>
    </row>
    <row r="35" spans="1:11" x14ac:dyDescent="0.25">
      <c r="A35">
        <v>34</v>
      </c>
      <c r="B35" s="2" t="str">
        <f t="shared" si="0"/>
        <v>01-10-2004</v>
      </c>
      <c r="C35" t="s">
        <v>10</v>
      </c>
      <c r="D35">
        <v>1</v>
      </c>
      <c r="E35" t="str">
        <f t="shared" si="1"/>
        <v>01</v>
      </c>
      <c r="F35">
        <v>10</v>
      </c>
      <c r="G35" t="str">
        <f t="shared" si="2"/>
        <v>10</v>
      </c>
      <c r="H35">
        <v>2004</v>
      </c>
      <c r="I35" t="str">
        <f t="shared" si="3"/>
        <v>200410</v>
      </c>
      <c r="J35" t="str">
        <f t="shared" si="5"/>
        <v>https://www.euro-millions.com/results/01-10-2004</v>
      </c>
      <c r="K35" t="str">
        <f t="shared" si="4"/>
        <v>http://lottery.merseyworld.com/Euro/archive/Lott034.html</v>
      </c>
    </row>
    <row r="36" spans="1:11" x14ac:dyDescent="0.25">
      <c r="A36">
        <v>35</v>
      </c>
      <c r="B36" s="2" t="str">
        <f t="shared" si="0"/>
        <v>08-10-2004</v>
      </c>
      <c r="C36" t="s">
        <v>10</v>
      </c>
      <c r="D36">
        <v>8</v>
      </c>
      <c r="E36" t="str">
        <f t="shared" si="1"/>
        <v>08</v>
      </c>
      <c r="F36">
        <v>10</v>
      </c>
      <c r="G36" t="str">
        <f t="shared" si="2"/>
        <v>10</v>
      </c>
      <c r="H36">
        <v>2004</v>
      </c>
      <c r="I36" t="str">
        <f t="shared" si="3"/>
        <v>200410</v>
      </c>
      <c r="J36" t="str">
        <f t="shared" si="5"/>
        <v>https://www.euro-millions.com/results/08-10-2004</v>
      </c>
      <c r="K36" t="str">
        <f t="shared" si="4"/>
        <v>http://lottery.merseyworld.com/Euro/archive/Lott035.html</v>
      </c>
    </row>
    <row r="37" spans="1:11" x14ac:dyDescent="0.25">
      <c r="A37">
        <v>36</v>
      </c>
      <c r="B37" s="2" t="str">
        <f t="shared" si="0"/>
        <v>15-10-2004</v>
      </c>
      <c r="C37" t="s">
        <v>10</v>
      </c>
      <c r="D37">
        <v>15</v>
      </c>
      <c r="E37" t="str">
        <f t="shared" si="1"/>
        <v>15</v>
      </c>
      <c r="F37">
        <v>10</v>
      </c>
      <c r="G37" t="str">
        <f t="shared" si="2"/>
        <v>10</v>
      </c>
      <c r="H37">
        <v>2004</v>
      </c>
      <c r="I37" t="str">
        <f t="shared" si="3"/>
        <v>200410</v>
      </c>
      <c r="J37" t="str">
        <f t="shared" si="5"/>
        <v>https://www.euro-millions.com/results/15-10-2004</v>
      </c>
      <c r="K37" t="str">
        <f t="shared" si="4"/>
        <v>http://lottery.merseyworld.com/Euro/archive/Lott036.html</v>
      </c>
    </row>
    <row r="38" spans="1:11" x14ac:dyDescent="0.25">
      <c r="A38">
        <v>37</v>
      </c>
      <c r="B38" s="2" t="str">
        <f t="shared" si="0"/>
        <v>22-10-2004</v>
      </c>
      <c r="C38" t="s">
        <v>10</v>
      </c>
      <c r="D38">
        <v>22</v>
      </c>
      <c r="E38" t="str">
        <f t="shared" si="1"/>
        <v>22</v>
      </c>
      <c r="F38">
        <v>10</v>
      </c>
      <c r="G38" t="str">
        <f t="shared" si="2"/>
        <v>10</v>
      </c>
      <c r="H38">
        <v>2004</v>
      </c>
      <c r="I38" t="str">
        <f t="shared" si="3"/>
        <v>200410</v>
      </c>
      <c r="J38" t="str">
        <f t="shared" si="5"/>
        <v>https://www.euro-millions.com/results/22-10-2004</v>
      </c>
      <c r="K38" t="str">
        <f t="shared" si="4"/>
        <v>http://lottery.merseyworld.com/Euro/archive/Lott037.html</v>
      </c>
    </row>
    <row r="39" spans="1:11" x14ac:dyDescent="0.25">
      <c r="A39">
        <v>38</v>
      </c>
      <c r="B39" s="2" t="str">
        <f t="shared" si="0"/>
        <v>29-10-2004</v>
      </c>
      <c r="C39" t="s">
        <v>10</v>
      </c>
      <c r="D39">
        <v>29</v>
      </c>
      <c r="E39" t="str">
        <f t="shared" si="1"/>
        <v>29</v>
      </c>
      <c r="F39">
        <v>10</v>
      </c>
      <c r="G39" t="str">
        <f t="shared" si="2"/>
        <v>10</v>
      </c>
      <c r="H39">
        <v>2004</v>
      </c>
      <c r="I39" t="str">
        <f t="shared" si="3"/>
        <v>200410</v>
      </c>
      <c r="J39" t="str">
        <f t="shared" si="5"/>
        <v>https://www.euro-millions.com/results/29-10-2004</v>
      </c>
      <c r="K39" t="str">
        <f t="shared" si="4"/>
        <v>http://lottery.merseyworld.com/Euro/archive/Lott038.html</v>
      </c>
    </row>
    <row r="40" spans="1:11" x14ac:dyDescent="0.25">
      <c r="A40">
        <v>39</v>
      </c>
      <c r="B40" s="2" t="str">
        <f t="shared" si="0"/>
        <v>05-11-2004</v>
      </c>
      <c r="C40" t="s">
        <v>10</v>
      </c>
      <c r="D40">
        <v>5</v>
      </c>
      <c r="E40" t="str">
        <f t="shared" si="1"/>
        <v>05</v>
      </c>
      <c r="F40">
        <v>11</v>
      </c>
      <c r="G40" t="str">
        <f t="shared" si="2"/>
        <v>11</v>
      </c>
      <c r="H40">
        <v>2004</v>
      </c>
      <c r="I40" t="str">
        <f t="shared" si="3"/>
        <v>200411</v>
      </c>
      <c r="J40" t="str">
        <f t="shared" si="5"/>
        <v>https://www.euro-millions.com/results/05-11-2004</v>
      </c>
      <c r="K40" t="str">
        <f t="shared" si="4"/>
        <v>http://lottery.merseyworld.com/Euro/archive/Lott039.html</v>
      </c>
    </row>
    <row r="41" spans="1:11" x14ac:dyDescent="0.25">
      <c r="A41">
        <v>40</v>
      </c>
      <c r="B41" s="2" t="str">
        <f t="shared" si="0"/>
        <v>12-11-2004</v>
      </c>
      <c r="C41" t="s">
        <v>10</v>
      </c>
      <c r="D41">
        <v>12</v>
      </c>
      <c r="E41" t="str">
        <f t="shared" si="1"/>
        <v>12</v>
      </c>
      <c r="F41">
        <v>11</v>
      </c>
      <c r="G41" t="str">
        <f t="shared" si="2"/>
        <v>11</v>
      </c>
      <c r="H41">
        <v>2004</v>
      </c>
      <c r="I41" t="str">
        <f t="shared" si="3"/>
        <v>200411</v>
      </c>
      <c r="J41" t="str">
        <f t="shared" si="5"/>
        <v>https://www.euro-millions.com/results/12-11-2004</v>
      </c>
      <c r="K41" t="str">
        <f t="shared" si="4"/>
        <v>http://lottery.merseyworld.com/Euro/archive/Lott040.html</v>
      </c>
    </row>
    <row r="42" spans="1:11" x14ac:dyDescent="0.25">
      <c r="A42">
        <v>41</v>
      </c>
      <c r="B42" s="2" t="str">
        <f t="shared" si="0"/>
        <v>19-11-2004</v>
      </c>
      <c r="C42" t="s">
        <v>10</v>
      </c>
      <c r="D42">
        <v>19</v>
      </c>
      <c r="E42" t="str">
        <f t="shared" si="1"/>
        <v>19</v>
      </c>
      <c r="F42">
        <v>11</v>
      </c>
      <c r="G42" t="str">
        <f t="shared" si="2"/>
        <v>11</v>
      </c>
      <c r="H42">
        <v>2004</v>
      </c>
      <c r="I42" t="str">
        <f t="shared" si="3"/>
        <v>200411</v>
      </c>
      <c r="J42" t="str">
        <f t="shared" si="5"/>
        <v>https://www.euro-millions.com/results/19-11-2004</v>
      </c>
      <c r="K42" t="str">
        <f t="shared" si="4"/>
        <v>http://lottery.merseyworld.com/Euro/archive/Lott041.html</v>
      </c>
    </row>
    <row r="43" spans="1:11" x14ac:dyDescent="0.25">
      <c r="A43">
        <v>42</v>
      </c>
      <c r="B43" s="2" t="str">
        <f t="shared" si="0"/>
        <v>26-11-2004</v>
      </c>
      <c r="C43" t="s">
        <v>10</v>
      </c>
      <c r="D43">
        <v>26</v>
      </c>
      <c r="E43" t="str">
        <f t="shared" si="1"/>
        <v>26</v>
      </c>
      <c r="F43">
        <v>11</v>
      </c>
      <c r="G43" t="str">
        <f t="shared" si="2"/>
        <v>11</v>
      </c>
      <c r="H43">
        <v>2004</v>
      </c>
      <c r="I43" t="str">
        <f t="shared" si="3"/>
        <v>200411</v>
      </c>
      <c r="J43" t="str">
        <f t="shared" si="5"/>
        <v>https://www.euro-millions.com/results/26-11-2004</v>
      </c>
      <c r="K43" t="str">
        <f t="shared" si="4"/>
        <v>http://lottery.merseyworld.com/Euro/archive/Lott042.html</v>
      </c>
    </row>
    <row r="44" spans="1:11" x14ac:dyDescent="0.25">
      <c r="A44">
        <v>43</v>
      </c>
      <c r="B44" s="2" t="str">
        <f t="shared" si="0"/>
        <v>03-12-2004</v>
      </c>
      <c r="C44" t="s">
        <v>10</v>
      </c>
      <c r="D44">
        <v>3</v>
      </c>
      <c r="E44" t="str">
        <f t="shared" si="1"/>
        <v>03</v>
      </c>
      <c r="F44">
        <v>12</v>
      </c>
      <c r="G44" t="str">
        <f t="shared" si="2"/>
        <v>12</v>
      </c>
      <c r="H44">
        <v>2004</v>
      </c>
      <c r="I44" t="str">
        <f t="shared" si="3"/>
        <v>200412</v>
      </c>
      <c r="J44" t="str">
        <f t="shared" si="5"/>
        <v>https://www.euro-millions.com/results/03-12-2004</v>
      </c>
      <c r="K44" t="str">
        <f t="shared" si="4"/>
        <v>http://lottery.merseyworld.com/Euro/archive/Lott043.html</v>
      </c>
    </row>
    <row r="45" spans="1:11" x14ac:dyDescent="0.25">
      <c r="A45">
        <v>44</v>
      </c>
      <c r="B45" s="2" t="str">
        <f t="shared" si="0"/>
        <v>10-12-2004</v>
      </c>
      <c r="C45" t="s">
        <v>10</v>
      </c>
      <c r="D45">
        <v>10</v>
      </c>
      <c r="E45" t="str">
        <f t="shared" si="1"/>
        <v>10</v>
      </c>
      <c r="F45">
        <v>12</v>
      </c>
      <c r="G45" t="str">
        <f t="shared" si="2"/>
        <v>12</v>
      </c>
      <c r="H45">
        <v>2004</v>
      </c>
      <c r="I45" t="str">
        <f t="shared" si="3"/>
        <v>200412</v>
      </c>
      <c r="J45" t="str">
        <f t="shared" si="5"/>
        <v>https://www.euro-millions.com/results/10-12-2004</v>
      </c>
      <c r="K45" t="str">
        <f t="shared" si="4"/>
        <v>http://lottery.merseyworld.com/Euro/archive/Lott044.html</v>
      </c>
    </row>
    <row r="46" spans="1:11" x14ac:dyDescent="0.25">
      <c r="A46">
        <v>45</v>
      </c>
      <c r="B46" s="2" t="str">
        <f t="shared" si="0"/>
        <v>17-12-2004</v>
      </c>
      <c r="C46" t="s">
        <v>10</v>
      </c>
      <c r="D46">
        <v>17</v>
      </c>
      <c r="E46" t="str">
        <f t="shared" si="1"/>
        <v>17</v>
      </c>
      <c r="F46">
        <v>12</v>
      </c>
      <c r="G46" t="str">
        <f t="shared" si="2"/>
        <v>12</v>
      </c>
      <c r="H46">
        <v>2004</v>
      </c>
      <c r="I46" t="str">
        <f t="shared" si="3"/>
        <v>200412</v>
      </c>
      <c r="J46" t="str">
        <f t="shared" si="5"/>
        <v>https://www.euro-millions.com/results/17-12-2004</v>
      </c>
      <c r="K46" t="str">
        <f t="shared" si="4"/>
        <v>http://lottery.merseyworld.com/Euro/archive/Lott045.html</v>
      </c>
    </row>
    <row r="47" spans="1:11" x14ac:dyDescent="0.25">
      <c r="A47">
        <v>46</v>
      </c>
      <c r="B47" s="2" t="str">
        <f t="shared" si="0"/>
        <v>24-12-2004</v>
      </c>
      <c r="C47" t="s">
        <v>10</v>
      </c>
      <c r="D47">
        <v>24</v>
      </c>
      <c r="E47" t="str">
        <f t="shared" si="1"/>
        <v>24</v>
      </c>
      <c r="F47">
        <v>12</v>
      </c>
      <c r="G47" t="str">
        <f t="shared" si="2"/>
        <v>12</v>
      </c>
      <c r="H47">
        <v>2004</v>
      </c>
      <c r="I47" t="str">
        <f t="shared" si="3"/>
        <v>200412</v>
      </c>
      <c r="J47" t="str">
        <f t="shared" si="5"/>
        <v>https://www.euro-millions.com/results/24-12-2004</v>
      </c>
      <c r="K47" t="str">
        <f t="shared" si="4"/>
        <v>http://lottery.merseyworld.com/Euro/archive/Lott046.html</v>
      </c>
    </row>
    <row r="48" spans="1:11" x14ac:dyDescent="0.25">
      <c r="A48">
        <v>47</v>
      </c>
      <c r="B48" s="2" t="str">
        <f t="shared" si="0"/>
        <v>31-12-2004</v>
      </c>
      <c r="C48" t="s">
        <v>10</v>
      </c>
      <c r="D48">
        <v>31</v>
      </c>
      <c r="E48" t="str">
        <f t="shared" si="1"/>
        <v>31</v>
      </c>
      <c r="F48">
        <v>12</v>
      </c>
      <c r="G48" t="str">
        <f t="shared" si="2"/>
        <v>12</v>
      </c>
      <c r="H48">
        <v>2004</v>
      </c>
      <c r="I48" t="str">
        <f t="shared" si="3"/>
        <v>200412</v>
      </c>
      <c r="J48" t="str">
        <f t="shared" si="5"/>
        <v>https://www.euro-millions.com/results/31-12-2004</v>
      </c>
      <c r="K48" t="str">
        <f t="shared" si="4"/>
        <v>http://lottery.merseyworld.com/Euro/archive/Lott047.html</v>
      </c>
    </row>
    <row r="49" spans="1:11" x14ac:dyDescent="0.25">
      <c r="A49">
        <v>48</v>
      </c>
      <c r="B49" s="2" t="str">
        <f t="shared" si="0"/>
        <v>07-01-2005</v>
      </c>
      <c r="C49" t="s">
        <v>10</v>
      </c>
      <c r="D49">
        <v>7</v>
      </c>
      <c r="E49" t="str">
        <f t="shared" si="1"/>
        <v>07</v>
      </c>
      <c r="F49">
        <v>1</v>
      </c>
      <c r="G49" t="str">
        <f t="shared" si="2"/>
        <v>01</v>
      </c>
      <c r="H49">
        <v>2005</v>
      </c>
      <c r="I49" t="str">
        <f t="shared" si="3"/>
        <v>200501</v>
      </c>
      <c r="J49" t="str">
        <f t="shared" si="5"/>
        <v>https://www.euro-millions.com/results/07-01-2005</v>
      </c>
      <c r="K49" t="str">
        <f t="shared" si="4"/>
        <v>http://lottery.merseyworld.com/Euro/archive/Lott048.html</v>
      </c>
    </row>
    <row r="50" spans="1:11" x14ac:dyDescent="0.25">
      <c r="A50">
        <v>49</v>
      </c>
      <c r="B50" s="2" t="str">
        <f t="shared" si="0"/>
        <v>14-01-2005</v>
      </c>
      <c r="C50" t="s">
        <v>10</v>
      </c>
      <c r="D50">
        <v>14</v>
      </c>
      <c r="E50" t="str">
        <f t="shared" si="1"/>
        <v>14</v>
      </c>
      <c r="F50">
        <v>1</v>
      </c>
      <c r="G50" t="str">
        <f t="shared" si="2"/>
        <v>01</v>
      </c>
      <c r="H50">
        <v>2005</v>
      </c>
      <c r="I50" t="str">
        <f t="shared" si="3"/>
        <v>200501</v>
      </c>
      <c r="J50" t="str">
        <f t="shared" si="5"/>
        <v>https://www.euro-millions.com/results/14-01-2005</v>
      </c>
      <c r="K50" t="str">
        <f t="shared" si="4"/>
        <v>http://lottery.merseyworld.com/Euro/archive/Lott049.html</v>
      </c>
    </row>
    <row r="51" spans="1:11" x14ac:dyDescent="0.25">
      <c r="A51">
        <v>50</v>
      </c>
      <c r="B51" s="2" t="str">
        <f t="shared" si="0"/>
        <v>21-01-2005</v>
      </c>
      <c r="C51" t="s">
        <v>10</v>
      </c>
      <c r="D51">
        <v>21</v>
      </c>
      <c r="E51" t="str">
        <f t="shared" si="1"/>
        <v>21</v>
      </c>
      <c r="F51">
        <v>1</v>
      </c>
      <c r="G51" t="str">
        <f t="shared" si="2"/>
        <v>01</v>
      </c>
      <c r="H51">
        <v>2005</v>
      </c>
      <c r="I51" t="str">
        <f t="shared" si="3"/>
        <v>200501</v>
      </c>
      <c r="J51" t="str">
        <f t="shared" si="5"/>
        <v>https://www.euro-millions.com/results/21-01-2005</v>
      </c>
      <c r="K51" t="str">
        <f t="shared" si="4"/>
        <v>http://lottery.merseyworld.com/Euro/archive/Lott050.html</v>
      </c>
    </row>
    <row r="52" spans="1:11" x14ac:dyDescent="0.25">
      <c r="A52">
        <v>51</v>
      </c>
      <c r="B52" s="2" t="str">
        <f t="shared" si="0"/>
        <v>28-01-2005</v>
      </c>
      <c r="C52" t="s">
        <v>10</v>
      </c>
      <c r="D52">
        <v>28</v>
      </c>
      <c r="E52" t="str">
        <f t="shared" si="1"/>
        <v>28</v>
      </c>
      <c r="F52">
        <v>1</v>
      </c>
      <c r="G52" t="str">
        <f t="shared" si="2"/>
        <v>01</v>
      </c>
      <c r="H52">
        <v>2005</v>
      </c>
      <c r="I52" t="str">
        <f t="shared" si="3"/>
        <v>200501</v>
      </c>
      <c r="J52" t="str">
        <f t="shared" si="5"/>
        <v>https://www.euro-millions.com/results/28-01-2005</v>
      </c>
      <c r="K52" t="str">
        <f t="shared" si="4"/>
        <v>http://lottery.merseyworld.com/Euro/archive/Lott051.html</v>
      </c>
    </row>
    <row r="53" spans="1:11" x14ac:dyDescent="0.25">
      <c r="A53">
        <v>52</v>
      </c>
      <c r="B53" s="2" t="str">
        <f t="shared" si="0"/>
        <v>04-02-2005</v>
      </c>
      <c r="C53" t="s">
        <v>10</v>
      </c>
      <c r="D53">
        <v>4</v>
      </c>
      <c r="E53" t="str">
        <f t="shared" si="1"/>
        <v>04</v>
      </c>
      <c r="F53">
        <v>2</v>
      </c>
      <c r="G53" t="str">
        <f t="shared" si="2"/>
        <v>02</v>
      </c>
      <c r="H53">
        <v>2005</v>
      </c>
      <c r="I53" t="str">
        <f t="shared" si="3"/>
        <v>200502</v>
      </c>
      <c r="J53" t="str">
        <f t="shared" si="5"/>
        <v>https://www.euro-millions.com/results/04-02-2005</v>
      </c>
      <c r="K53" t="str">
        <f t="shared" si="4"/>
        <v>http://lottery.merseyworld.com/Euro/archive/Lott052.html</v>
      </c>
    </row>
    <row r="54" spans="1:11" x14ac:dyDescent="0.25">
      <c r="A54">
        <v>53</v>
      </c>
      <c r="B54" s="2" t="str">
        <f t="shared" si="0"/>
        <v>11-02-2005</v>
      </c>
      <c r="C54" t="s">
        <v>10</v>
      </c>
      <c r="D54">
        <v>11</v>
      </c>
      <c r="E54" t="str">
        <f t="shared" si="1"/>
        <v>11</v>
      </c>
      <c r="F54">
        <v>2</v>
      </c>
      <c r="G54" t="str">
        <f t="shared" si="2"/>
        <v>02</v>
      </c>
      <c r="H54">
        <v>2005</v>
      </c>
      <c r="I54" t="str">
        <f t="shared" si="3"/>
        <v>200502</v>
      </c>
      <c r="J54" t="str">
        <f t="shared" si="5"/>
        <v>https://www.euro-millions.com/results/11-02-2005</v>
      </c>
      <c r="K54" t="str">
        <f t="shared" si="4"/>
        <v>http://lottery.merseyworld.com/Euro/archive/Lott053.html</v>
      </c>
    </row>
    <row r="55" spans="1:11" x14ac:dyDescent="0.25">
      <c r="A55">
        <v>54</v>
      </c>
      <c r="B55" s="2" t="str">
        <f t="shared" si="0"/>
        <v>18-02-2005</v>
      </c>
      <c r="C55" t="s">
        <v>10</v>
      </c>
      <c r="D55">
        <v>18</v>
      </c>
      <c r="E55" t="str">
        <f t="shared" si="1"/>
        <v>18</v>
      </c>
      <c r="F55">
        <v>2</v>
      </c>
      <c r="G55" t="str">
        <f t="shared" si="2"/>
        <v>02</v>
      </c>
      <c r="H55">
        <v>2005</v>
      </c>
      <c r="I55" t="str">
        <f t="shared" si="3"/>
        <v>200502</v>
      </c>
      <c r="J55" t="str">
        <f t="shared" si="5"/>
        <v>https://www.euro-millions.com/results/18-02-2005</v>
      </c>
      <c r="K55" t="str">
        <f t="shared" si="4"/>
        <v>http://lottery.merseyworld.com/Euro/archive/Lott054.html</v>
      </c>
    </row>
    <row r="56" spans="1:11" x14ac:dyDescent="0.25">
      <c r="A56">
        <v>55</v>
      </c>
      <c r="B56" s="2" t="str">
        <f t="shared" si="0"/>
        <v>25-02-2005</v>
      </c>
      <c r="C56" t="s">
        <v>10</v>
      </c>
      <c r="D56">
        <v>25</v>
      </c>
      <c r="E56" t="str">
        <f t="shared" si="1"/>
        <v>25</v>
      </c>
      <c r="F56">
        <v>2</v>
      </c>
      <c r="G56" t="str">
        <f t="shared" si="2"/>
        <v>02</v>
      </c>
      <c r="H56">
        <v>2005</v>
      </c>
      <c r="I56" t="str">
        <f t="shared" si="3"/>
        <v>200502</v>
      </c>
      <c r="J56" t="str">
        <f t="shared" si="5"/>
        <v>https://www.euro-millions.com/results/25-02-2005</v>
      </c>
      <c r="K56" t="str">
        <f t="shared" si="4"/>
        <v>http://lottery.merseyworld.com/Euro/archive/Lott055.html</v>
      </c>
    </row>
    <row r="57" spans="1:11" x14ac:dyDescent="0.25">
      <c r="A57">
        <v>56</v>
      </c>
      <c r="B57" s="2" t="str">
        <f t="shared" si="0"/>
        <v>04-03-2005</v>
      </c>
      <c r="C57" t="s">
        <v>10</v>
      </c>
      <c r="D57">
        <v>4</v>
      </c>
      <c r="E57" t="str">
        <f t="shared" si="1"/>
        <v>04</v>
      </c>
      <c r="F57">
        <v>3</v>
      </c>
      <c r="G57" t="str">
        <f t="shared" si="2"/>
        <v>03</v>
      </c>
      <c r="H57">
        <v>2005</v>
      </c>
      <c r="I57" t="str">
        <f t="shared" si="3"/>
        <v>200503</v>
      </c>
      <c r="J57" t="str">
        <f t="shared" si="5"/>
        <v>https://www.euro-millions.com/results/04-03-2005</v>
      </c>
      <c r="K57" t="str">
        <f t="shared" si="4"/>
        <v>http://lottery.merseyworld.com/Euro/archive/Lott056.html</v>
      </c>
    </row>
    <row r="58" spans="1:11" x14ac:dyDescent="0.25">
      <c r="A58">
        <v>57</v>
      </c>
      <c r="B58" s="2" t="str">
        <f t="shared" si="0"/>
        <v>11-03-2005</v>
      </c>
      <c r="C58" t="s">
        <v>10</v>
      </c>
      <c r="D58">
        <v>11</v>
      </c>
      <c r="E58" t="str">
        <f t="shared" si="1"/>
        <v>11</v>
      </c>
      <c r="F58">
        <v>3</v>
      </c>
      <c r="G58" t="str">
        <f t="shared" si="2"/>
        <v>03</v>
      </c>
      <c r="H58">
        <v>2005</v>
      </c>
      <c r="I58" t="str">
        <f t="shared" si="3"/>
        <v>200503</v>
      </c>
      <c r="J58" t="str">
        <f t="shared" si="5"/>
        <v>https://www.euro-millions.com/results/11-03-2005</v>
      </c>
      <c r="K58" t="str">
        <f t="shared" si="4"/>
        <v>http://lottery.merseyworld.com/Euro/archive/Lott057.html</v>
      </c>
    </row>
    <row r="59" spans="1:11" x14ac:dyDescent="0.25">
      <c r="A59">
        <v>58</v>
      </c>
      <c r="B59" s="2" t="str">
        <f t="shared" si="0"/>
        <v>18-03-2005</v>
      </c>
      <c r="C59" t="s">
        <v>10</v>
      </c>
      <c r="D59">
        <v>18</v>
      </c>
      <c r="E59" t="str">
        <f t="shared" si="1"/>
        <v>18</v>
      </c>
      <c r="F59">
        <v>3</v>
      </c>
      <c r="G59" t="str">
        <f t="shared" si="2"/>
        <v>03</v>
      </c>
      <c r="H59">
        <v>2005</v>
      </c>
      <c r="I59" t="str">
        <f t="shared" si="3"/>
        <v>200503</v>
      </c>
      <c r="J59" t="str">
        <f t="shared" si="5"/>
        <v>https://www.euro-millions.com/results/18-03-2005</v>
      </c>
      <c r="K59" t="str">
        <f t="shared" si="4"/>
        <v>http://lottery.merseyworld.com/Euro/archive/Lott058.html</v>
      </c>
    </row>
    <row r="60" spans="1:11" x14ac:dyDescent="0.25">
      <c r="A60">
        <v>59</v>
      </c>
      <c r="B60" s="2" t="str">
        <f t="shared" si="0"/>
        <v>25-03-2005</v>
      </c>
      <c r="C60" t="s">
        <v>10</v>
      </c>
      <c r="D60">
        <v>25</v>
      </c>
      <c r="E60" t="str">
        <f t="shared" si="1"/>
        <v>25</v>
      </c>
      <c r="F60">
        <v>3</v>
      </c>
      <c r="G60" t="str">
        <f t="shared" si="2"/>
        <v>03</v>
      </c>
      <c r="H60">
        <v>2005</v>
      </c>
      <c r="I60" t="str">
        <f t="shared" si="3"/>
        <v>200503</v>
      </c>
      <c r="J60" t="str">
        <f t="shared" si="5"/>
        <v>https://www.euro-millions.com/results/25-03-2005</v>
      </c>
      <c r="K60" t="str">
        <f t="shared" si="4"/>
        <v>http://lottery.merseyworld.com/Euro/archive/Lott059.html</v>
      </c>
    </row>
    <row r="61" spans="1:11" x14ac:dyDescent="0.25">
      <c r="A61">
        <v>60</v>
      </c>
      <c r="B61" s="2" t="str">
        <f t="shared" si="0"/>
        <v>01-04-2005</v>
      </c>
      <c r="C61" t="s">
        <v>10</v>
      </c>
      <c r="D61">
        <v>1</v>
      </c>
      <c r="E61" t="str">
        <f t="shared" si="1"/>
        <v>01</v>
      </c>
      <c r="F61">
        <v>4</v>
      </c>
      <c r="G61" t="str">
        <f t="shared" si="2"/>
        <v>04</v>
      </c>
      <c r="H61">
        <v>2005</v>
      </c>
      <c r="I61" t="str">
        <f t="shared" si="3"/>
        <v>200504</v>
      </c>
      <c r="J61" t="str">
        <f t="shared" si="5"/>
        <v>https://www.euro-millions.com/results/01-04-2005</v>
      </c>
      <c r="K61" t="str">
        <f t="shared" si="4"/>
        <v>http://lottery.merseyworld.com/Euro/archive/Lott060.html</v>
      </c>
    </row>
    <row r="62" spans="1:11" x14ac:dyDescent="0.25">
      <c r="A62">
        <v>61</v>
      </c>
      <c r="B62" s="2" t="str">
        <f t="shared" si="0"/>
        <v>08-04-2005</v>
      </c>
      <c r="C62" t="s">
        <v>10</v>
      </c>
      <c r="D62">
        <v>8</v>
      </c>
      <c r="E62" t="str">
        <f t="shared" si="1"/>
        <v>08</v>
      </c>
      <c r="F62">
        <v>4</v>
      </c>
      <c r="G62" t="str">
        <f t="shared" si="2"/>
        <v>04</v>
      </c>
      <c r="H62">
        <v>2005</v>
      </c>
      <c r="I62" t="str">
        <f t="shared" si="3"/>
        <v>200504</v>
      </c>
      <c r="J62" t="str">
        <f t="shared" si="5"/>
        <v>https://www.euro-millions.com/results/08-04-2005</v>
      </c>
      <c r="K62" t="str">
        <f t="shared" si="4"/>
        <v>http://lottery.merseyworld.com/Euro/archive/Lott061.html</v>
      </c>
    </row>
    <row r="63" spans="1:11" x14ac:dyDescent="0.25">
      <c r="A63">
        <v>62</v>
      </c>
      <c r="B63" s="2" t="str">
        <f t="shared" si="0"/>
        <v>15-04-2005</v>
      </c>
      <c r="C63" t="s">
        <v>10</v>
      </c>
      <c r="D63">
        <v>15</v>
      </c>
      <c r="E63" t="str">
        <f t="shared" si="1"/>
        <v>15</v>
      </c>
      <c r="F63">
        <v>4</v>
      </c>
      <c r="G63" t="str">
        <f t="shared" si="2"/>
        <v>04</v>
      </c>
      <c r="H63">
        <v>2005</v>
      </c>
      <c r="I63" t="str">
        <f t="shared" si="3"/>
        <v>200504</v>
      </c>
      <c r="J63" t="str">
        <f t="shared" si="5"/>
        <v>https://www.euro-millions.com/results/15-04-2005</v>
      </c>
      <c r="K63" t="str">
        <f t="shared" si="4"/>
        <v>http://lottery.merseyworld.com/Euro/archive/Lott062.html</v>
      </c>
    </row>
    <row r="64" spans="1:11" x14ac:dyDescent="0.25">
      <c r="A64">
        <v>63</v>
      </c>
      <c r="B64" s="2" t="str">
        <f t="shared" si="0"/>
        <v>22-04-2005</v>
      </c>
      <c r="C64" t="s">
        <v>10</v>
      </c>
      <c r="D64">
        <v>22</v>
      </c>
      <c r="E64" t="str">
        <f t="shared" si="1"/>
        <v>22</v>
      </c>
      <c r="F64">
        <v>4</v>
      </c>
      <c r="G64" t="str">
        <f t="shared" si="2"/>
        <v>04</v>
      </c>
      <c r="H64">
        <v>2005</v>
      </c>
      <c r="I64" t="str">
        <f t="shared" si="3"/>
        <v>200504</v>
      </c>
      <c r="J64" t="str">
        <f t="shared" si="5"/>
        <v>https://www.euro-millions.com/results/22-04-2005</v>
      </c>
      <c r="K64" t="str">
        <f t="shared" si="4"/>
        <v>http://lottery.merseyworld.com/Euro/archive/Lott063.html</v>
      </c>
    </row>
    <row r="65" spans="1:11" x14ac:dyDescent="0.25">
      <c r="A65">
        <v>64</v>
      </c>
      <c r="B65" s="2" t="str">
        <f t="shared" si="0"/>
        <v>29-04-2005</v>
      </c>
      <c r="C65" t="s">
        <v>10</v>
      </c>
      <c r="D65">
        <v>29</v>
      </c>
      <c r="E65" t="str">
        <f t="shared" si="1"/>
        <v>29</v>
      </c>
      <c r="F65">
        <v>4</v>
      </c>
      <c r="G65" t="str">
        <f t="shared" si="2"/>
        <v>04</v>
      </c>
      <c r="H65">
        <v>2005</v>
      </c>
      <c r="I65" t="str">
        <f t="shared" si="3"/>
        <v>200504</v>
      </c>
      <c r="J65" t="str">
        <f t="shared" si="5"/>
        <v>https://www.euro-millions.com/results/29-04-2005</v>
      </c>
      <c r="K65" t="str">
        <f t="shared" si="4"/>
        <v>http://lottery.merseyworld.com/Euro/archive/Lott064.html</v>
      </c>
    </row>
    <row r="66" spans="1:11" x14ac:dyDescent="0.25">
      <c r="A66">
        <v>65</v>
      </c>
      <c r="B66" s="2" t="str">
        <f t="shared" si="0"/>
        <v>06-05-2005</v>
      </c>
      <c r="C66" t="s">
        <v>10</v>
      </c>
      <c r="D66">
        <v>6</v>
      </c>
      <c r="E66" t="str">
        <f t="shared" si="1"/>
        <v>06</v>
      </c>
      <c r="F66">
        <v>5</v>
      </c>
      <c r="G66" t="str">
        <f t="shared" si="2"/>
        <v>05</v>
      </c>
      <c r="H66">
        <v>2005</v>
      </c>
      <c r="I66" t="str">
        <f t="shared" si="3"/>
        <v>200505</v>
      </c>
      <c r="J66" t="str">
        <f t="shared" si="5"/>
        <v>https://www.euro-millions.com/results/06-05-2005</v>
      </c>
      <c r="K66" t="str">
        <f t="shared" si="4"/>
        <v>http://lottery.merseyworld.com/Euro/archive/Lott065.html</v>
      </c>
    </row>
    <row r="67" spans="1:11" x14ac:dyDescent="0.25">
      <c r="A67">
        <v>66</v>
      </c>
      <c r="B67" s="2" t="str">
        <f t="shared" ref="B67:B130" si="6">CONCATENATE(E67,"-",G67,"-",H67)</f>
        <v>13-05-2005</v>
      </c>
      <c r="C67" t="s">
        <v>10</v>
      </c>
      <c r="D67">
        <v>13</v>
      </c>
      <c r="E67" t="str">
        <f t="shared" ref="E67:E130" si="7">CONCATENATE(IF(LEN(D67)=1,CONCATENATE("0",D67),D67))</f>
        <v>13</v>
      </c>
      <c r="F67">
        <v>5</v>
      </c>
      <c r="G67" t="str">
        <f t="shared" ref="G67:G130" si="8">CONCATENATE(IF(LEN(F67)=1,CONCATENATE("0",F67),F67))</f>
        <v>05</v>
      </c>
      <c r="H67">
        <v>2005</v>
      </c>
      <c r="I67" t="str">
        <f t="shared" ref="I67:I130" si="9">CONCATENATE(H67,IF(LEN(F67)=1,CONCATENATE("0",F67),F67))</f>
        <v>200505</v>
      </c>
      <c r="J67" t="str">
        <f t="shared" si="5"/>
        <v>https://www.euro-millions.com/results/13-05-2005</v>
      </c>
      <c r="K67" t="str">
        <f t="shared" ref="K67:K130" si="10">CONCATENATE("http://lottery.merseyworld.com/Euro/archive/Lott",RIGHT(CONCATENATE("00",A67),3),".html")</f>
        <v>http://lottery.merseyworld.com/Euro/archive/Lott066.html</v>
      </c>
    </row>
    <row r="68" spans="1:11" x14ac:dyDescent="0.25">
      <c r="A68">
        <v>67</v>
      </c>
      <c r="B68" s="2" t="str">
        <f t="shared" si="6"/>
        <v>20-05-2005</v>
      </c>
      <c r="C68" t="s">
        <v>10</v>
      </c>
      <c r="D68">
        <v>20</v>
      </c>
      <c r="E68" t="str">
        <f t="shared" si="7"/>
        <v>20</v>
      </c>
      <c r="F68">
        <v>5</v>
      </c>
      <c r="G68" t="str">
        <f t="shared" si="8"/>
        <v>05</v>
      </c>
      <c r="H68">
        <v>2005</v>
      </c>
      <c r="I68" t="str">
        <f t="shared" si="9"/>
        <v>200505</v>
      </c>
      <c r="J68" t="str">
        <f t="shared" si="5"/>
        <v>https://www.euro-millions.com/results/20-05-2005</v>
      </c>
      <c r="K68" t="str">
        <f t="shared" si="10"/>
        <v>http://lottery.merseyworld.com/Euro/archive/Lott067.html</v>
      </c>
    </row>
    <row r="69" spans="1:11" x14ac:dyDescent="0.25">
      <c r="A69">
        <v>68</v>
      </c>
      <c r="B69" s="2" t="str">
        <f t="shared" si="6"/>
        <v>27-05-2005</v>
      </c>
      <c r="C69" t="s">
        <v>10</v>
      </c>
      <c r="D69">
        <v>27</v>
      </c>
      <c r="E69" t="str">
        <f t="shared" si="7"/>
        <v>27</v>
      </c>
      <c r="F69">
        <v>5</v>
      </c>
      <c r="G69" t="str">
        <f t="shared" si="8"/>
        <v>05</v>
      </c>
      <c r="H69">
        <v>2005</v>
      </c>
      <c r="I69" t="str">
        <f t="shared" si="9"/>
        <v>200505</v>
      </c>
      <c r="J69" t="str">
        <f t="shared" si="5"/>
        <v>https://www.euro-millions.com/results/27-05-2005</v>
      </c>
      <c r="K69" t="str">
        <f t="shared" si="10"/>
        <v>http://lottery.merseyworld.com/Euro/archive/Lott068.html</v>
      </c>
    </row>
    <row r="70" spans="1:11" x14ac:dyDescent="0.25">
      <c r="A70">
        <v>69</v>
      </c>
      <c r="B70" s="2" t="str">
        <f t="shared" si="6"/>
        <v>03-06-2005</v>
      </c>
      <c r="C70" t="s">
        <v>10</v>
      </c>
      <c r="D70">
        <v>3</v>
      </c>
      <c r="E70" t="str">
        <f t="shared" si="7"/>
        <v>03</v>
      </c>
      <c r="F70">
        <v>6</v>
      </c>
      <c r="G70" t="str">
        <f t="shared" si="8"/>
        <v>06</v>
      </c>
      <c r="H70">
        <v>2005</v>
      </c>
      <c r="I70" t="str">
        <f t="shared" si="9"/>
        <v>200506</v>
      </c>
      <c r="J70" t="str">
        <f t="shared" si="5"/>
        <v>https://www.euro-millions.com/results/03-06-2005</v>
      </c>
      <c r="K70" t="str">
        <f t="shared" si="10"/>
        <v>http://lottery.merseyworld.com/Euro/archive/Lott069.html</v>
      </c>
    </row>
    <row r="71" spans="1:11" x14ac:dyDescent="0.25">
      <c r="A71">
        <v>70</v>
      </c>
      <c r="B71" s="2" t="str">
        <f t="shared" si="6"/>
        <v>10-06-2005</v>
      </c>
      <c r="C71" t="s">
        <v>10</v>
      </c>
      <c r="D71">
        <v>10</v>
      </c>
      <c r="E71" t="str">
        <f t="shared" si="7"/>
        <v>10</v>
      </c>
      <c r="F71">
        <v>6</v>
      </c>
      <c r="G71" t="str">
        <f t="shared" si="8"/>
        <v>06</v>
      </c>
      <c r="H71">
        <v>2005</v>
      </c>
      <c r="I71" t="str">
        <f t="shared" si="9"/>
        <v>200506</v>
      </c>
      <c r="J71" t="str">
        <f t="shared" si="5"/>
        <v>https://www.euro-millions.com/results/10-06-2005</v>
      </c>
      <c r="K71" t="str">
        <f t="shared" si="10"/>
        <v>http://lottery.merseyworld.com/Euro/archive/Lott070.html</v>
      </c>
    </row>
    <row r="72" spans="1:11" x14ac:dyDescent="0.25">
      <c r="A72">
        <v>71</v>
      </c>
      <c r="B72" s="2" t="str">
        <f t="shared" si="6"/>
        <v>17-06-2005</v>
      </c>
      <c r="C72" t="s">
        <v>10</v>
      </c>
      <c r="D72">
        <v>17</v>
      </c>
      <c r="E72" t="str">
        <f t="shared" si="7"/>
        <v>17</v>
      </c>
      <c r="F72">
        <v>6</v>
      </c>
      <c r="G72" t="str">
        <f t="shared" si="8"/>
        <v>06</v>
      </c>
      <c r="H72">
        <v>2005</v>
      </c>
      <c r="I72" t="str">
        <f t="shared" si="9"/>
        <v>200506</v>
      </c>
      <c r="J72" t="str">
        <f t="shared" ref="J72:J135" si="11">CONCATENATE("https://www.euro-millions.com/results/",E72,"-",G72,"-",H72)</f>
        <v>https://www.euro-millions.com/results/17-06-2005</v>
      </c>
      <c r="K72" t="str">
        <f t="shared" si="10"/>
        <v>http://lottery.merseyworld.com/Euro/archive/Lott071.html</v>
      </c>
    </row>
    <row r="73" spans="1:11" x14ac:dyDescent="0.25">
      <c r="A73">
        <v>72</v>
      </c>
      <c r="B73" s="2" t="str">
        <f t="shared" si="6"/>
        <v>24-06-2005</v>
      </c>
      <c r="C73" t="s">
        <v>10</v>
      </c>
      <c r="D73">
        <v>24</v>
      </c>
      <c r="E73" t="str">
        <f t="shared" si="7"/>
        <v>24</v>
      </c>
      <c r="F73">
        <v>6</v>
      </c>
      <c r="G73" t="str">
        <f t="shared" si="8"/>
        <v>06</v>
      </c>
      <c r="H73">
        <v>2005</v>
      </c>
      <c r="I73" t="str">
        <f t="shared" si="9"/>
        <v>200506</v>
      </c>
      <c r="J73" t="str">
        <f t="shared" si="11"/>
        <v>https://www.euro-millions.com/results/24-06-2005</v>
      </c>
      <c r="K73" t="str">
        <f t="shared" si="10"/>
        <v>http://lottery.merseyworld.com/Euro/archive/Lott072.html</v>
      </c>
    </row>
    <row r="74" spans="1:11" x14ac:dyDescent="0.25">
      <c r="A74">
        <v>73</v>
      </c>
      <c r="B74" s="2" t="str">
        <f t="shared" si="6"/>
        <v>01-07-2005</v>
      </c>
      <c r="C74" t="s">
        <v>10</v>
      </c>
      <c r="D74">
        <v>1</v>
      </c>
      <c r="E74" t="str">
        <f t="shared" si="7"/>
        <v>01</v>
      </c>
      <c r="F74">
        <v>7</v>
      </c>
      <c r="G74" t="str">
        <f t="shared" si="8"/>
        <v>07</v>
      </c>
      <c r="H74">
        <v>2005</v>
      </c>
      <c r="I74" t="str">
        <f t="shared" si="9"/>
        <v>200507</v>
      </c>
      <c r="J74" t="str">
        <f t="shared" si="11"/>
        <v>https://www.euro-millions.com/results/01-07-2005</v>
      </c>
      <c r="K74" t="str">
        <f t="shared" si="10"/>
        <v>http://lottery.merseyworld.com/Euro/archive/Lott073.html</v>
      </c>
    </row>
    <row r="75" spans="1:11" x14ac:dyDescent="0.25">
      <c r="A75">
        <v>74</v>
      </c>
      <c r="B75" s="2" t="str">
        <f t="shared" si="6"/>
        <v>08-07-2005</v>
      </c>
      <c r="C75" t="s">
        <v>10</v>
      </c>
      <c r="D75">
        <v>8</v>
      </c>
      <c r="E75" t="str">
        <f t="shared" si="7"/>
        <v>08</v>
      </c>
      <c r="F75">
        <v>7</v>
      </c>
      <c r="G75" t="str">
        <f t="shared" si="8"/>
        <v>07</v>
      </c>
      <c r="H75">
        <v>2005</v>
      </c>
      <c r="I75" t="str">
        <f t="shared" si="9"/>
        <v>200507</v>
      </c>
      <c r="J75" t="str">
        <f t="shared" si="11"/>
        <v>https://www.euro-millions.com/results/08-07-2005</v>
      </c>
      <c r="K75" t="str">
        <f t="shared" si="10"/>
        <v>http://lottery.merseyworld.com/Euro/archive/Lott074.html</v>
      </c>
    </row>
    <row r="76" spans="1:11" x14ac:dyDescent="0.25">
      <c r="A76">
        <v>75</v>
      </c>
      <c r="B76" s="2" t="str">
        <f t="shared" si="6"/>
        <v>15-07-2005</v>
      </c>
      <c r="C76" t="s">
        <v>10</v>
      </c>
      <c r="D76">
        <v>15</v>
      </c>
      <c r="E76" t="str">
        <f t="shared" si="7"/>
        <v>15</v>
      </c>
      <c r="F76">
        <v>7</v>
      </c>
      <c r="G76" t="str">
        <f t="shared" si="8"/>
        <v>07</v>
      </c>
      <c r="H76">
        <v>2005</v>
      </c>
      <c r="I76" t="str">
        <f t="shared" si="9"/>
        <v>200507</v>
      </c>
      <c r="J76" t="str">
        <f t="shared" si="11"/>
        <v>https://www.euro-millions.com/results/15-07-2005</v>
      </c>
      <c r="K76" t="str">
        <f t="shared" si="10"/>
        <v>http://lottery.merseyworld.com/Euro/archive/Lott075.html</v>
      </c>
    </row>
    <row r="77" spans="1:11" x14ac:dyDescent="0.25">
      <c r="A77">
        <v>76</v>
      </c>
      <c r="B77" s="2" t="str">
        <f t="shared" si="6"/>
        <v>22-07-2005</v>
      </c>
      <c r="C77" t="s">
        <v>10</v>
      </c>
      <c r="D77">
        <v>22</v>
      </c>
      <c r="E77" t="str">
        <f t="shared" si="7"/>
        <v>22</v>
      </c>
      <c r="F77">
        <v>7</v>
      </c>
      <c r="G77" t="str">
        <f t="shared" si="8"/>
        <v>07</v>
      </c>
      <c r="H77">
        <v>2005</v>
      </c>
      <c r="I77" t="str">
        <f t="shared" si="9"/>
        <v>200507</v>
      </c>
      <c r="J77" t="str">
        <f t="shared" si="11"/>
        <v>https://www.euro-millions.com/results/22-07-2005</v>
      </c>
      <c r="K77" t="str">
        <f t="shared" si="10"/>
        <v>http://lottery.merseyworld.com/Euro/archive/Lott076.html</v>
      </c>
    </row>
    <row r="78" spans="1:11" x14ac:dyDescent="0.25">
      <c r="A78">
        <v>77</v>
      </c>
      <c r="B78" s="2" t="str">
        <f t="shared" si="6"/>
        <v>29-07-2005</v>
      </c>
      <c r="C78" t="s">
        <v>10</v>
      </c>
      <c r="D78">
        <v>29</v>
      </c>
      <c r="E78" t="str">
        <f t="shared" si="7"/>
        <v>29</v>
      </c>
      <c r="F78">
        <v>7</v>
      </c>
      <c r="G78" t="str">
        <f t="shared" si="8"/>
        <v>07</v>
      </c>
      <c r="H78">
        <v>2005</v>
      </c>
      <c r="I78" t="str">
        <f t="shared" si="9"/>
        <v>200507</v>
      </c>
      <c r="J78" t="str">
        <f t="shared" si="11"/>
        <v>https://www.euro-millions.com/results/29-07-2005</v>
      </c>
      <c r="K78" t="str">
        <f t="shared" si="10"/>
        <v>http://lottery.merseyworld.com/Euro/archive/Lott077.html</v>
      </c>
    </row>
    <row r="79" spans="1:11" x14ac:dyDescent="0.25">
      <c r="A79">
        <v>78</v>
      </c>
      <c r="B79" s="2" t="str">
        <f t="shared" si="6"/>
        <v>05-08-2005</v>
      </c>
      <c r="C79" t="s">
        <v>10</v>
      </c>
      <c r="D79">
        <v>5</v>
      </c>
      <c r="E79" t="str">
        <f t="shared" si="7"/>
        <v>05</v>
      </c>
      <c r="F79">
        <v>8</v>
      </c>
      <c r="G79" t="str">
        <f t="shared" si="8"/>
        <v>08</v>
      </c>
      <c r="H79">
        <v>2005</v>
      </c>
      <c r="I79" t="str">
        <f t="shared" si="9"/>
        <v>200508</v>
      </c>
      <c r="J79" t="str">
        <f t="shared" si="11"/>
        <v>https://www.euro-millions.com/results/05-08-2005</v>
      </c>
      <c r="K79" t="str">
        <f t="shared" si="10"/>
        <v>http://lottery.merseyworld.com/Euro/archive/Lott078.html</v>
      </c>
    </row>
    <row r="80" spans="1:11" x14ac:dyDescent="0.25">
      <c r="A80">
        <v>79</v>
      </c>
      <c r="B80" s="2" t="str">
        <f t="shared" si="6"/>
        <v>12-08-2005</v>
      </c>
      <c r="C80" t="s">
        <v>10</v>
      </c>
      <c r="D80">
        <v>12</v>
      </c>
      <c r="E80" t="str">
        <f t="shared" si="7"/>
        <v>12</v>
      </c>
      <c r="F80">
        <v>8</v>
      </c>
      <c r="G80" t="str">
        <f t="shared" si="8"/>
        <v>08</v>
      </c>
      <c r="H80">
        <v>2005</v>
      </c>
      <c r="I80" t="str">
        <f t="shared" si="9"/>
        <v>200508</v>
      </c>
      <c r="J80" t="str">
        <f t="shared" si="11"/>
        <v>https://www.euro-millions.com/results/12-08-2005</v>
      </c>
      <c r="K80" t="str">
        <f t="shared" si="10"/>
        <v>http://lottery.merseyworld.com/Euro/archive/Lott079.html</v>
      </c>
    </row>
    <row r="81" spans="1:11" x14ac:dyDescent="0.25">
      <c r="A81">
        <v>80</v>
      </c>
      <c r="B81" s="2" t="str">
        <f t="shared" si="6"/>
        <v>19-08-2005</v>
      </c>
      <c r="C81" t="s">
        <v>10</v>
      </c>
      <c r="D81">
        <v>19</v>
      </c>
      <c r="E81" t="str">
        <f t="shared" si="7"/>
        <v>19</v>
      </c>
      <c r="F81">
        <v>8</v>
      </c>
      <c r="G81" t="str">
        <f t="shared" si="8"/>
        <v>08</v>
      </c>
      <c r="H81">
        <v>2005</v>
      </c>
      <c r="I81" t="str">
        <f t="shared" si="9"/>
        <v>200508</v>
      </c>
      <c r="J81" t="str">
        <f t="shared" si="11"/>
        <v>https://www.euro-millions.com/results/19-08-2005</v>
      </c>
      <c r="K81" t="str">
        <f t="shared" si="10"/>
        <v>http://lottery.merseyworld.com/Euro/archive/Lott080.html</v>
      </c>
    </row>
    <row r="82" spans="1:11" x14ac:dyDescent="0.25">
      <c r="A82">
        <v>81</v>
      </c>
      <c r="B82" s="2" t="str">
        <f t="shared" si="6"/>
        <v>26-08-2005</v>
      </c>
      <c r="C82" t="s">
        <v>10</v>
      </c>
      <c r="D82">
        <v>26</v>
      </c>
      <c r="E82" t="str">
        <f t="shared" si="7"/>
        <v>26</v>
      </c>
      <c r="F82">
        <v>8</v>
      </c>
      <c r="G82" t="str">
        <f t="shared" si="8"/>
        <v>08</v>
      </c>
      <c r="H82">
        <v>2005</v>
      </c>
      <c r="I82" t="str">
        <f t="shared" si="9"/>
        <v>200508</v>
      </c>
      <c r="J82" t="str">
        <f t="shared" si="11"/>
        <v>https://www.euro-millions.com/results/26-08-2005</v>
      </c>
      <c r="K82" t="str">
        <f t="shared" si="10"/>
        <v>http://lottery.merseyworld.com/Euro/archive/Lott081.html</v>
      </c>
    </row>
    <row r="83" spans="1:11" x14ac:dyDescent="0.25">
      <c r="A83">
        <v>82</v>
      </c>
      <c r="B83" s="2" t="str">
        <f t="shared" si="6"/>
        <v>02-09-2005</v>
      </c>
      <c r="C83" t="s">
        <v>10</v>
      </c>
      <c r="D83">
        <v>2</v>
      </c>
      <c r="E83" t="str">
        <f t="shared" si="7"/>
        <v>02</v>
      </c>
      <c r="F83">
        <v>9</v>
      </c>
      <c r="G83" t="str">
        <f t="shared" si="8"/>
        <v>09</v>
      </c>
      <c r="H83">
        <v>2005</v>
      </c>
      <c r="I83" t="str">
        <f t="shared" si="9"/>
        <v>200509</v>
      </c>
      <c r="J83" t="str">
        <f t="shared" si="11"/>
        <v>https://www.euro-millions.com/results/02-09-2005</v>
      </c>
      <c r="K83" t="str">
        <f t="shared" si="10"/>
        <v>http://lottery.merseyworld.com/Euro/archive/Lott082.html</v>
      </c>
    </row>
    <row r="84" spans="1:11" x14ac:dyDescent="0.25">
      <c r="A84">
        <v>83</v>
      </c>
      <c r="B84" s="2" t="str">
        <f t="shared" si="6"/>
        <v>09-09-2005</v>
      </c>
      <c r="C84" t="s">
        <v>10</v>
      </c>
      <c r="D84">
        <v>9</v>
      </c>
      <c r="E84" t="str">
        <f t="shared" si="7"/>
        <v>09</v>
      </c>
      <c r="F84">
        <v>9</v>
      </c>
      <c r="G84" t="str">
        <f t="shared" si="8"/>
        <v>09</v>
      </c>
      <c r="H84">
        <v>2005</v>
      </c>
      <c r="I84" t="str">
        <f t="shared" si="9"/>
        <v>200509</v>
      </c>
      <c r="J84" t="str">
        <f t="shared" si="11"/>
        <v>https://www.euro-millions.com/results/09-09-2005</v>
      </c>
      <c r="K84" t="str">
        <f t="shared" si="10"/>
        <v>http://lottery.merseyworld.com/Euro/archive/Lott083.html</v>
      </c>
    </row>
    <row r="85" spans="1:11" x14ac:dyDescent="0.25">
      <c r="A85">
        <v>84</v>
      </c>
      <c r="B85" s="2" t="str">
        <f t="shared" si="6"/>
        <v>16-09-2005</v>
      </c>
      <c r="C85" t="s">
        <v>10</v>
      </c>
      <c r="D85">
        <v>16</v>
      </c>
      <c r="E85" t="str">
        <f t="shared" si="7"/>
        <v>16</v>
      </c>
      <c r="F85">
        <v>9</v>
      </c>
      <c r="G85" t="str">
        <f t="shared" si="8"/>
        <v>09</v>
      </c>
      <c r="H85">
        <v>2005</v>
      </c>
      <c r="I85" t="str">
        <f t="shared" si="9"/>
        <v>200509</v>
      </c>
      <c r="J85" t="str">
        <f t="shared" si="11"/>
        <v>https://www.euro-millions.com/results/16-09-2005</v>
      </c>
      <c r="K85" t="str">
        <f t="shared" si="10"/>
        <v>http://lottery.merseyworld.com/Euro/archive/Lott084.html</v>
      </c>
    </row>
    <row r="86" spans="1:11" x14ac:dyDescent="0.25">
      <c r="A86">
        <v>85</v>
      </c>
      <c r="B86" s="2" t="str">
        <f t="shared" si="6"/>
        <v>23-09-2005</v>
      </c>
      <c r="C86" t="s">
        <v>10</v>
      </c>
      <c r="D86">
        <v>23</v>
      </c>
      <c r="E86" t="str">
        <f t="shared" si="7"/>
        <v>23</v>
      </c>
      <c r="F86">
        <v>9</v>
      </c>
      <c r="G86" t="str">
        <f t="shared" si="8"/>
        <v>09</v>
      </c>
      <c r="H86">
        <v>2005</v>
      </c>
      <c r="I86" t="str">
        <f t="shared" si="9"/>
        <v>200509</v>
      </c>
      <c r="J86" t="str">
        <f t="shared" si="11"/>
        <v>https://www.euro-millions.com/results/23-09-2005</v>
      </c>
      <c r="K86" t="str">
        <f t="shared" si="10"/>
        <v>http://lottery.merseyworld.com/Euro/archive/Lott085.html</v>
      </c>
    </row>
    <row r="87" spans="1:11" x14ac:dyDescent="0.25">
      <c r="A87">
        <v>86</v>
      </c>
      <c r="B87" s="2" t="str">
        <f t="shared" si="6"/>
        <v>30-09-2005</v>
      </c>
      <c r="C87" t="s">
        <v>10</v>
      </c>
      <c r="D87">
        <v>30</v>
      </c>
      <c r="E87" t="str">
        <f t="shared" si="7"/>
        <v>30</v>
      </c>
      <c r="F87">
        <v>9</v>
      </c>
      <c r="G87" t="str">
        <f t="shared" si="8"/>
        <v>09</v>
      </c>
      <c r="H87">
        <v>2005</v>
      </c>
      <c r="I87" t="str">
        <f t="shared" si="9"/>
        <v>200509</v>
      </c>
      <c r="J87" t="str">
        <f t="shared" si="11"/>
        <v>https://www.euro-millions.com/results/30-09-2005</v>
      </c>
      <c r="K87" t="str">
        <f t="shared" si="10"/>
        <v>http://lottery.merseyworld.com/Euro/archive/Lott086.html</v>
      </c>
    </row>
    <row r="88" spans="1:11" x14ac:dyDescent="0.25">
      <c r="A88">
        <v>87</v>
      </c>
      <c r="B88" s="2" t="str">
        <f t="shared" si="6"/>
        <v>07-10-2005</v>
      </c>
      <c r="C88" t="s">
        <v>10</v>
      </c>
      <c r="D88">
        <v>7</v>
      </c>
      <c r="E88" t="str">
        <f t="shared" si="7"/>
        <v>07</v>
      </c>
      <c r="F88">
        <v>10</v>
      </c>
      <c r="G88" t="str">
        <f t="shared" si="8"/>
        <v>10</v>
      </c>
      <c r="H88">
        <v>2005</v>
      </c>
      <c r="I88" t="str">
        <f t="shared" si="9"/>
        <v>200510</v>
      </c>
      <c r="J88" t="str">
        <f t="shared" si="11"/>
        <v>https://www.euro-millions.com/results/07-10-2005</v>
      </c>
      <c r="K88" t="str">
        <f t="shared" si="10"/>
        <v>http://lottery.merseyworld.com/Euro/archive/Lott087.html</v>
      </c>
    </row>
    <row r="89" spans="1:11" x14ac:dyDescent="0.25">
      <c r="A89">
        <v>88</v>
      </c>
      <c r="B89" s="2" t="str">
        <f t="shared" si="6"/>
        <v>14-10-2005</v>
      </c>
      <c r="C89" t="s">
        <v>10</v>
      </c>
      <c r="D89">
        <v>14</v>
      </c>
      <c r="E89" t="str">
        <f t="shared" si="7"/>
        <v>14</v>
      </c>
      <c r="F89">
        <v>10</v>
      </c>
      <c r="G89" t="str">
        <f t="shared" si="8"/>
        <v>10</v>
      </c>
      <c r="H89">
        <v>2005</v>
      </c>
      <c r="I89" t="str">
        <f t="shared" si="9"/>
        <v>200510</v>
      </c>
      <c r="J89" t="str">
        <f t="shared" si="11"/>
        <v>https://www.euro-millions.com/results/14-10-2005</v>
      </c>
      <c r="K89" t="str">
        <f t="shared" si="10"/>
        <v>http://lottery.merseyworld.com/Euro/archive/Lott088.html</v>
      </c>
    </row>
    <row r="90" spans="1:11" x14ac:dyDescent="0.25">
      <c r="A90">
        <v>89</v>
      </c>
      <c r="B90" s="2" t="str">
        <f t="shared" si="6"/>
        <v>21-10-2005</v>
      </c>
      <c r="C90" t="s">
        <v>10</v>
      </c>
      <c r="D90">
        <v>21</v>
      </c>
      <c r="E90" t="str">
        <f t="shared" si="7"/>
        <v>21</v>
      </c>
      <c r="F90">
        <v>10</v>
      </c>
      <c r="G90" t="str">
        <f t="shared" si="8"/>
        <v>10</v>
      </c>
      <c r="H90">
        <v>2005</v>
      </c>
      <c r="I90" t="str">
        <f t="shared" si="9"/>
        <v>200510</v>
      </c>
      <c r="J90" t="str">
        <f t="shared" si="11"/>
        <v>https://www.euro-millions.com/results/21-10-2005</v>
      </c>
      <c r="K90" t="str">
        <f t="shared" si="10"/>
        <v>http://lottery.merseyworld.com/Euro/archive/Lott089.html</v>
      </c>
    </row>
    <row r="91" spans="1:11" x14ac:dyDescent="0.25">
      <c r="A91">
        <v>90</v>
      </c>
      <c r="B91" s="2" t="str">
        <f t="shared" si="6"/>
        <v>28-10-2005</v>
      </c>
      <c r="C91" t="s">
        <v>10</v>
      </c>
      <c r="D91">
        <v>28</v>
      </c>
      <c r="E91" t="str">
        <f t="shared" si="7"/>
        <v>28</v>
      </c>
      <c r="F91">
        <v>10</v>
      </c>
      <c r="G91" t="str">
        <f t="shared" si="8"/>
        <v>10</v>
      </c>
      <c r="H91">
        <v>2005</v>
      </c>
      <c r="I91" t="str">
        <f t="shared" si="9"/>
        <v>200510</v>
      </c>
      <c r="J91" t="str">
        <f t="shared" si="11"/>
        <v>https://www.euro-millions.com/results/28-10-2005</v>
      </c>
      <c r="K91" t="str">
        <f t="shared" si="10"/>
        <v>http://lottery.merseyworld.com/Euro/archive/Lott090.html</v>
      </c>
    </row>
    <row r="92" spans="1:11" x14ac:dyDescent="0.25">
      <c r="A92">
        <v>91</v>
      </c>
      <c r="B92" s="2" t="str">
        <f t="shared" si="6"/>
        <v>04-11-2005</v>
      </c>
      <c r="C92" t="s">
        <v>10</v>
      </c>
      <c r="D92">
        <v>4</v>
      </c>
      <c r="E92" t="str">
        <f t="shared" si="7"/>
        <v>04</v>
      </c>
      <c r="F92">
        <v>11</v>
      </c>
      <c r="G92" t="str">
        <f t="shared" si="8"/>
        <v>11</v>
      </c>
      <c r="H92">
        <v>2005</v>
      </c>
      <c r="I92" t="str">
        <f t="shared" si="9"/>
        <v>200511</v>
      </c>
      <c r="J92" t="str">
        <f t="shared" si="11"/>
        <v>https://www.euro-millions.com/results/04-11-2005</v>
      </c>
      <c r="K92" t="str">
        <f t="shared" si="10"/>
        <v>http://lottery.merseyworld.com/Euro/archive/Lott091.html</v>
      </c>
    </row>
    <row r="93" spans="1:11" x14ac:dyDescent="0.25">
      <c r="A93">
        <v>92</v>
      </c>
      <c r="B93" s="2" t="str">
        <f t="shared" si="6"/>
        <v>11-11-2005</v>
      </c>
      <c r="C93" t="s">
        <v>10</v>
      </c>
      <c r="D93">
        <v>11</v>
      </c>
      <c r="E93" t="str">
        <f t="shared" si="7"/>
        <v>11</v>
      </c>
      <c r="F93">
        <v>11</v>
      </c>
      <c r="G93" t="str">
        <f t="shared" si="8"/>
        <v>11</v>
      </c>
      <c r="H93">
        <v>2005</v>
      </c>
      <c r="I93" t="str">
        <f t="shared" si="9"/>
        <v>200511</v>
      </c>
      <c r="J93" t="str">
        <f t="shared" si="11"/>
        <v>https://www.euro-millions.com/results/11-11-2005</v>
      </c>
      <c r="K93" t="str">
        <f t="shared" si="10"/>
        <v>http://lottery.merseyworld.com/Euro/archive/Lott092.html</v>
      </c>
    </row>
    <row r="94" spans="1:11" x14ac:dyDescent="0.25">
      <c r="A94">
        <v>93</v>
      </c>
      <c r="B94" s="2" t="str">
        <f t="shared" si="6"/>
        <v>18-11-2005</v>
      </c>
      <c r="C94" t="s">
        <v>10</v>
      </c>
      <c r="D94">
        <v>18</v>
      </c>
      <c r="E94" t="str">
        <f t="shared" si="7"/>
        <v>18</v>
      </c>
      <c r="F94">
        <v>11</v>
      </c>
      <c r="G94" t="str">
        <f t="shared" si="8"/>
        <v>11</v>
      </c>
      <c r="H94">
        <v>2005</v>
      </c>
      <c r="I94" t="str">
        <f t="shared" si="9"/>
        <v>200511</v>
      </c>
      <c r="J94" t="str">
        <f t="shared" si="11"/>
        <v>https://www.euro-millions.com/results/18-11-2005</v>
      </c>
      <c r="K94" t="str">
        <f t="shared" si="10"/>
        <v>http://lottery.merseyworld.com/Euro/archive/Lott093.html</v>
      </c>
    </row>
    <row r="95" spans="1:11" x14ac:dyDescent="0.25">
      <c r="A95">
        <v>94</v>
      </c>
      <c r="B95" s="2" t="str">
        <f t="shared" si="6"/>
        <v>25-11-2005</v>
      </c>
      <c r="C95" t="s">
        <v>10</v>
      </c>
      <c r="D95">
        <v>25</v>
      </c>
      <c r="E95" t="str">
        <f t="shared" si="7"/>
        <v>25</v>
      </c>
      <c r="F95">
        <v>11</v>
      </c>
      <c r="G95" t="str">
        <f t="shared" si="8"/>
        <v>11</v>
      </c>
      <c r="H95">
        <v>2005</v>
      </c>
      <c r="I95" t="str">
        <f t="shared" si="9"/>
        <v>200511</v>
      </c>
      <c r="J95" t="str">
        <f t="shared" si="11"/>
        <v>https://www.euro-millions.com/results/25-11-2005</v>
      </c>
      <c r="K95" t="str">
        <f t="shared" si="10"/>
        <v>http://lottery.merseyworld.com/Euro/archive/Lott094.html</v>
      </c>
    </row>
    <row r="96" spans="1:11" x14ac:dyDescent="0.25">
      <c r="A96">
        <v>95</v>
      </c>
      <c r="B96" s="2" t="str">
        <f t="shared" si="6"/>
        <v>02-12-2005</v>
      </c>
      <c r="C96" t="s">
        <v>10</v>
      </c>
      <c r="D96">
        <v>2</v>
      </c>
      <c r="E96" t="str">
        <f t="shared" si="7"/>
        <v>02</v>
      </c>
      <c r="F96">
        <v>12</v>
      </c>
      <c r="G96" t="str">
        <f t="shared" si="8"/>
        <v>12</v>
      </c>
      <c r="H96">
        <v>2005</v>
      </c>
      <c r="I96" t="str">
        <f t="shared" si="9"/>
        <v>200512</v>
      </c>
      <c r="J96" t="str">
        <f t="shared" si="11"/>
        <v>https://www.euro-millions.com/results/02-12-2005</v>
      </c>
      <c r="K96" t="str">
        <f t="shared" si="10"/>
        <v>http://lottery.merseyworld.com/Euro/archive/Lott095.html</v>
      </c>
    </row>
    <row r="97" spans="1:11" x14ac:dyDescent="0.25">
      <c r="A97">
        <v>96</v>
      </c>
      <c r="B97" s="2" t="str">
        <f t="shared" si="6"/>
        <v>09-12-2005</v>
      </c>
      <c r="C97" t="s">
        <v>10</v>
      </c>
      <c r="D97">
        <v>9</v>
      </c>
      <c r="E97" t="str">
        <f t="shared" si="7"/>
        <v>09</v>
      </c>
      <c r="F97">
        <v>12</v>
      </c>
      <c r="G97" t="str">
        <f t="shared" si="8"/>
        <v>12</v>
      </c>
      <c r="H97">
        <v>2005</v>
      </c>
      <c r="I97" t="str">
        <f t="shared" si="9"/>
        <v>200512</v>
      </c>
      <c r="J97" t="str">
        <f t="shared" si="11"/>
        <v>https://www.euro-millions.com/results/09-12-2005</v>
      </c>
      <c r="K97" t="str">
        <f t="shared" si="10"/>
        <v>http://lottery.merseyworld.com/Euro/archive/Lott096.html</v>
      </c>
    </row>
    <row r="98" spans="1:11" x14ac:dyDescent="0.25">
      <c r="A98">
        <v>97</v>
      </c>
      <c r="B98" s="2" t="str">
        <f t="shared" si="6"/>
        <v>16-12-2005</v>
      </c>
      <c r="C98" t="s">
        <v>10</v>
      </c>
      <c r="D98">
        <v>16</v>
      </c>
      <c r="E98" t="str">
        <f t="shared" si="7"/>
        <v>16</v>
      </c>
      <c r="F98">
        <v>12</v>
      </c>
      <c r="G98" t="str">
        <f t="shared" si="8"/>
        <v>12</v>
      </c>
      <c r="H98">
        <v>2005</v>
      </c>
      <c r="I98" t="str">
        <f t="shared" si="9"/>
        <v>200512</v>
      </c>
      <c r="J98" t="str">
        <f t="shared" si="11"/>
        <v>https://www.euro-millions.com/results/16-12-2005</v>
      </c>
      <c r="K98" t="str">
        <f t="shared" si="10"/>
        <v>http://lottery.merseyworld.com/Euro/archive/Lott097.html</v>
      </c>
    </row>
    <row r="99" spans="1:11" x14ac:dyDescent="0.25">
      <c r="A99">
        <v>98</v>
      </c>
      <c r="B99" s="2" t="str">
        <f t="shared" si="6"/>
        <v>23-12-2005</v>
      </c>
      <c r="C99" t="s">
        <v>10</v>
      </c>
      <c r="D99">
        <v>23</v>
      </c>
      <c r="E99" t="str">
        <f t="shared" si="7"/>
        <v>23</v>
      </c>
      <c r="F99">
        <v>12</v>
      </c>
      <c r="G99" t="str">
        <f t="shared" si="8"/>
        <v>12</v>
      </c>
      <c r="H99">
        <v>2005</v>
      </c>
      <c r="I99" t="str">
        <f t="shared" si="9"/>
        <v>200512</v>
      </c>
      <c r="J99" t="str">
        <f t="shared" si="11"/>
        <v>https://www.euro-millions.com/results/23-12-2005</v>
      </c>
      <c r="K99" t="str">
        <f t="shared" si="10"/>
        <v>http://lottery.merseyworld.com/Euro/archive/Lott098.html</v>
      </c>
    </row>
    <row r="100" spans="1:11" x14ac:dyDescent="0.25">
      <c r="A100">
        <v>99</v>
      </c>
      <c r="B100" s="2" t="str">
        <f t="shared" si="6"/>
        <v>30-12-2005</v>
      </c>
      <c r="C100" t="s">
        <v>10</v>
      </c>
      <c r="D100">
        <v>30</v>
      </c>
      <c r="E100" t="str">
        <f t="shared" si="7"/>
        <v>30</v>
      </c>
      <c r="F100">
        <v>12</v>
      </c>
      <c r="G100" t="str">
        <f t="shared" si="8"/>
        <v>12</v>
      </c>
      <c r="H100">
        <v>2005</v>
      </c>
      <c r="I100" t="str">
        <f t="shared" si="9"/>
        <v>200512</v>
      </c>
      <c r="J100" t="str">
        <f t="shared" si="11"/>
        <v>https://www.euro-millions.com/results/30-12-2005</v>
      </c>
      <c r="K100" t="str">
        <f t="shared" si="10"/>
        <v>http://lottery.merseyworld.com/Euro/archive/Lott099.html</v>
      </c>
    </row>
    <row r="101" spans="1:11" x14ac:dyDescent="0.25">
      <c r="A101">
        <v>100</v>
      </c>
      <c r="B101" s="2" t="str">
        <f t="shared" si="6"/>
        <v>06-01-2006</v>
      </c>
      <c r="C101" t="s">
        <v>10</v>
      </c>
      <c r="D101">
        <v>6</v>
      </c>
      <c r="E101" t="str">
        <f t="shared" si="7"/>
        <v>06</v>
      </c>
      <c r="F101">
        <v>1</v>
      </c>
      <c r="G101" t="str">
        <f t="shared" si="8"/>
        <v>01</v>
      </c>
      <c r="H101">
        <v>2006</v>
      </c>
      <c r="I101" t="str">
        <f t="shared" si="9"/>
        <v>200601</v>
      </c>
      <c r="J101" t="str">
        <f t="shared" si="11"/>
        <v>https://www.euro-millions.com/results/06-01-2006</v>
      </c>
      <c r="K101" t="str">
        <f t="shared" si="10"/>
        <v>http://lottery.merseyworld.com/Euro/archive/Lott100.html</v>
      </c>
    </row>
    <row r="102" spans="1:11" x14ac:dyDescent="0.25">
      <c r="A102">
        <v>101</v>
      </c>
      <c r="B102" s="2" t="str">
        <f t="shared" si="6"/>
        <v>13-01-2006</v>
      </c>
      <c r="C102" t="s">
        <v>10</v>
      </c>
      <c r="D102">
        <v>13</v>
      </c>
      <c r="E102" t="str">
        <f t="shared" si="7"/>
        <v>13</v>
      </c>
      <c r="F102">
        <v>1</v>
      </c>
      <c r="G102" t="str">
        <f t="shared" si="8"/>
        <v>01</v>
      </c>
      <c r="H102">
        <v>2006</v>
      </c>
      <c r="I102" t="str">
        <f t="shared" si="9"/>
        <v>200601</v>
      </c>
      <c r="J102" t="str">
        <f t="shared" si="11"/>
        <v>https://www.euro-millions.com/results/13-01-2006</v>
      </c>
      <c r="K102" t="str">
        <f t="shared" si="10"/>
        <v>http://lottery.merseyworld.com/Euro/archive/Lott101.html</v>
      </c>
    </row>
    <row r="103" spans="1:11" x14ac:dyDescent="0.25">
      <c r="A103">
        <v>102</v>
      </c>
      <c r="B103" s="2" t="str">
        <f t="shared" si="6"/>
        <v>20-01-2006</v>
      </c>
      <c r="C103" t="s">
        <v>10</v>
      </c>
      <c r="D103">
        <v>20</v>
      </c>
      <c r="E103" t="str">
        <f t="shared" si="7"/>
        <v>20</v>
      </c>
      <c r="F103">
        <v>1</v>
      </c>
      <c r="G103" t="str">
        <f t="shared" si="8"/>
        <v>01</v>
      </c>
      <c r="H103">
        <v>2006</v>
      </c>
      <c r="I103" t="str">
        <f t="shared" si="9"/>
        <v>200601</v>
      </c>
      <c r="J103" t="str">
        <f t="shared" si="11"/>
        <v>https://www.euro-millions.com/results/20-01-2006</v>
      </c>
      <c r="K103" t="str">
        <f t="shared" si="10"/>
        <v>http://lottery.merseyworld.com/Euro/archive/Lott102.html</v>
      </c>
    </row>
    <row r="104" spans="1:11" x14ac:dyDescent="0.25">
      <c r="A104">
        <v>103</v>
      </c>
      <c r="B104" s="2" t="str">
        <f t="shared" si="6"/>
        <v>27-01-2006</v>
      </c>
      <c r="C104" t="s">
        <v>10</v>
      </c>
      <c r="D104">
        <v>27</v>
      </c>
      <c r="E104" t="str">
        <f t="shared" si="7"/>
        <v>27</v>
      </c>
      <c r="F104">
        <v>1</v>
      </c>
      <c r="G104" t="str">
        <f t="shared" si="8"/>
        <v>01</v>
      </c>
      <c r="H104">
        <v>2006</v>
      </c>
      <c r="I104" t="str">
        <f t="shared" si="9"/>
        <v>200601</v>
      </c>
      <c r="J104" t="str">
        <f t="shared" si="11"/>
        <v>https://www.euro-millions.com/results/27-01-2006</v>
      </c>
      <c r="K104" t="str">
        <f t="shared" si="10"/>
        <v>http://lottery.merseyworld.com/Euro/archive/Lott103.html</v>
      </c>
    </row>
    <row r="105" spans="1:11" x14ac:dyDescent="0.25">
      <c r="A105">
        <v>104</v>
      </c>
      <c r="B105" s="2" t="str">
        <f t="shared" si="6"/>
        <v>03-02-2006</v>
      </c>
      <c r="C105" t="s">
        <v>10</v>
      </c>
      <c r="D105">
        <v>3</v>
      </c>
      <c r="E105" t="str">
        <f t="shared" si="7"/>
        <v>03</v>
      </c>
      <c r="F105">
        <v>2</v>
      </c>
      <c r="G105" t="str">
        <f t="shared" si="8"/>
        <v>02</v>
      </c>
      <c r="H105">
        <v>2006</v>
      </c>
      <c r="I105" t="str">
        <f t="shared" si="9"/>
        <v>200602</v>
      </c>
      <c r="J105" t="str">
        <f t="shared" si="11"/>
        <v>https://www.euro-millions.com/results/03-02-2006</v>
      </c>
      <c r="K105" t="str">
        <f t="shared" si="10"/>
        <v>http://lottery.merseyworld.com/Euro/archive/Lott104.html</v>
      </c>
    </row>
    <row r="106" spans="1:11" x14ac:dyDescent="0.25">
      <c r="A106">
        <v>105</v>
      </c>
      <c r="B106" s="2" t="str">
        <f t="shared" si="6"/>
        <v>10-02-2006</v>
      </c>
      <c r="C106" t="s">
        <v>10</v>
      </c>
      <c r="D106">
        <v>10</v>
      </c>
      <c r="E106" t="str">
        <f t="shared" si="7"/>
        <v>10</v>
      </c>
      <c r="F106">
        <v>2</v>
      </c>
      <c r="G106" t="str">
        <f t="shared" si="8"/>
        <v>02</v>
      </c>
      <c r="H106">
        <v>2006</v>
      </c>
      <c r="I106" t="str">
        <f t="shared" si="9"/>
        <v>200602</v>
      </c>
      <c r="J106" t="str">
        <f t="shared" si="11"/>
        <v>https://www.euro-millions.com/results/10-02-2006</v>
      </c>
      <c r="K106" t="str">
        <f t="shared" si="10"/>
        <v>http://lottery.merseyworld.com/Euro/archive/Lott105.html</v>
      </c>
    </row>
    <row r="107" spans="1:11" x14ac:dyDescent="0.25">
      <c r="A107">
        <v>106</v>
      </c>
      <c r="B107" s="2" t="str">
        <f t="shared" si="6"/>
        <v>17-02-2006</v>
      </c>
      <c r="C107" t="s">
        <v>10</v>
      </c>
      <c r="D107">
        <v>17</v>
      </c>
      <c r="E107" t="str">
        <f t="shared" si="7"/>
        <v>17</v>
      </c>
      <c r="F107">
        <v>2</v>
      </c>
      <c r="G107" t="str">
        <f t="shared" si="8"/>
        <v>02</v>
      </c>
      <c r="H107">
        <v>2006</v>
      </c>
      <c r="I107" t="str">
        <f t="shared" si="9"/>
        <v>200602</v>
      </c>
      <c r="J107" t="str">
        <f t="shared" si="11"/>
        <v>https://www.euro-millions.com/results/17-02-2006</v>
      </c>
      <c r="K107" t="str">
        <f t="shared" si="10"/>
        <v>http://lottery.merseyworld.com/Euro/archive/Lott106.html</v>
      </c>
    </row>
    <row r="108" spans="1:11" x14ac:dyDescent="0.25">
      <c r="A108">
        <v>107</v>
      </c>
      <c r="B108" s="2" t="str">
        <f t="shared" si="6"/>
        <v>24-02-2006</v>
      </c>
      <c r="C108" t="s">
        <v>10</v>
      </c>
      <c r="D108">
        <v>24</v>
      </c>
      <c r="E108" t="str">
        <f t="shared" si="7"/>
        <v>24</v>
      </c>
      <c r="F108">
        <v>2</v>
      </c>
      <c r="G108" t="str">
        <f t="shared" si="8"/>
        <v>02</v>
      </c>
      <c r="H108">
        <v>2006</v>
      </c>
      <c r="I108" t="str">
        <f t="shared" si="9"/>
        <v>200602</v>
      </c>
      <c r="J108" t="str">
        <f t="shared" si="11"/>
        <v>https://www.euro-millions.com/results/24-02-2006</v>
      </c>
      <c r="K108" t="str">
        <f t="shared" si="10"/>
        <v>http://lottery.merseyworld.com/Euro/archive/Lott107.html</v>
      </c>
    </row>
    <row r="109" spans="1:11" x14ac:dyDescent="0.25">
      <c r="A109">
        <v>108</v>
      </c>
      <c r="B109" s="2" t="str">
        <f t="shared" si="6"/>
        <v>03-03-2006</v>
      </c>
      <c r="C109" t="s">
        <v>10</v>
      </c>
      <c r="D109">
        <v>3</v>
      </c>
      <c r="E109" t="str">
        <f t="shared" si="7"/>
        <v>03</v>
      </c>
      <c r="F109">
        <v>3</v>
      </c>
      <c r="G109" t="str">
        <f t="shared" si="8"/>
        <v>03</v>
      </c>
      <c r="H109">
        <v>2006</v>
      </c>
      <c r="I109" t="str">
        <f t="shared" si="9"/>
        <v>200603</v>
      </c>
      <c r="J109" t="str">
        <f t="shared" si="11"/>
        <v>https://www.euro-millions.com/results/03-03-2006</v>
      </c>
      <c r="K109" t="str">
        <f t="shared" si="10"/>
        <v>http://lottery.merseyworld.com/Euro/archive/Lott108.html</v>
      </c>
    </row>
    <row r="110" spans="1:11" x14ac:dyDescent="0.25">
      <c r="A110">
        <v>109</v>
      </c>
      <c r="B110" s="2" t="str">
        <f t="shared" si="6"/>
        <v>10-03-2006</v>
      </c>
      <c r="C110" t="s">
        <v>10</v>
      </c>
      <c r="D110">
        <v>10</v>
      </c>
      <c r="E110" t="str">
        <f t="shared" si="7"/>
        <v>10</v>
      </c>
      <c r="F110">
        <v>3</v>
      </c>
      <c r="G110" t="str">
        <f t="shared" si="8"/>
        <v>03</v>
      </c>
      <c r="H110">
        <v>2006</v>
      </c>
      <c r="I110" t="str">
        <f t="shared" si="9"/>
        <v>200603</v>
      </c>
      <c r="J110" t="str">
        <f t="shared" si="11"/>
        <v>https://www.euro-millions.com/results/10-03-2006</v>
      </c>
      <c r="K110" t="str">
        <f t="shared" si="10"/>
        <v>http://lottery.merseyworld.com/Euro/archive/Lott109.html</v>
      </c>
    </row>
    <row r="111" spans="1:11" x14ac:dyDescent="0.25">
      <c r="A111">
        <v>110</v>
      </c>
      <c r="B111" s="2" t="str">
        <f t="shared" si="6"/>
        <v>17-03-2006</v>
      </c>
      <c r="C111" t="s">
        <v>10</v>
      </c>
      <c r="D111">
        <v>17</v>
      </c>
      <c r="E111" t="str">
        <f t="shared" si="7"/>
        <v>17</v>
      </c>
      <c r="F111">
        <v>3</v>
      </c>
      <c r="G111" t="str">
        <f t="shared" si="8"/>
        <v>03</v>
      </c>
      <c r="H111">
        <v>2006</v>
      </c>
      <c r="I111" t="str">
        <f t="shared" si="9"/>
        <v>200603</v>
      </c>
      <c r="J111" t="str">
        <f t="shared" si="11"/>
        <v>https://www.euro-millions.com/results/17-03-2006</v>
      </c>
      <c r="K111" t="str">
        <f t="shared" si="10"/>
        <v>http://lottery.merseyworld.com/Euro/archive/Lott110.html</v>
      </c>
    </row>
    <row r="112" spans="1:11" x14ac:dyDescent="0.25">
      <c r="A112">
        <v>111</v>
      </c>
      <c r="B112" s="2" t="str">
        <f t="shared" si="6"/>
        <v>24-03-2006</v>
      </c>
      <c r="C112" t="s">
        <v>10</v>
      </c>
      <c r="D112">
        <v>24</v>
      </c>
      <c r="E112" t="str">
        <f t="shared" si="7"/>
        <v>24</v>
      </c>
      <c r="F112">
        <v>3</v>
      </c>
      <c r="G112" t="str">
        <f t="shared" si="8"/>
        <v>03</v>
      </c>
      <c r="H112">
        <v>2006</v>
      </c>
      <c r="I112" t="str">
        <f t="shared" si="9"/>
        <v>200603</v>
      </c>
      <c r="J112" t="str">
        <f t="shared" si="11"/>
        <v>https://www.euro-millions.com/results/24-03-2006</v>
      </c>
      <c r="K112" t="str">
        <f t="shared" si="10"/>
        <v>http://lottery.merseyworld.com/Euro/archive/Lott111.html</v>
      </c>
    </row>
    <row r="113" spans="1:11" x14ac:dyDescent="0.25">
      <c r="A113">
        <v>112</v>
      </c>
      <c r="B113" s="2" t="str">
        <f t="shared" si="6"/>
        <v>31-03-2006</v>
      </c>
      <c r="C113" t="s">
        <v>10</v>
      </c>
      <c r="D113">
        <v>31</v>
      </c>
      <c r="E113" t="str">
        <f t="shared" si="7"/>
        <v>31</v>
      </c>
      <c r="F113">
        <v>3</v>
      </c>
      <c r="G113" t="str">
        <f t="shared" si="8"/>
        <v>03</v>
      </c>
      <c r="H113">
        <v>2006</v>
      </c>
      <c r="I113" t="str">
        <f t="shared" si="9"/>
        <v>200603</v>
      </c>
      <c r="J113" t="str">
        <f t="shared" si="11"/>
        <v>https://www.euro-millions.com/results/31-03-2006</v>
      </c>
      <c r="K113" t="str">
        <f t="shared" si="10"/>
        <v>http://lottery.merseyworld.com/Euro/archive/Lott112.html</v>
      </c>
    </row>
    <row r="114" spans="1:11" x14ac:dyDescent="0.25">
      <c r="A114">
        <v>113</v>
      </c>
      <c r="B114" s="2" t="str">
        <f t="shared" si="6"/>
        <v>07-04-2006</v>
      </c>
      <c r="C114" t="s">
        <v>10</v>
      </c>
      <c r="D114">
        <v>7</v>
      </c>
      <c r="E114" t="str">
        <f t="shared" si="7"/>
        <v>07</v>
      </c>
      <c r="F114">
        <v>4</v>
      </c>
      <c r="G114" t="str">
        <f t="shared" si="8"/>
        <v>04</v>
      </c>
      <c r="H114">
        <v>2006</v>
      </c>
      <c r="I114" t="str">
        <f t="shared" si="9"/>
        <v>200604</v>
      </c>
      <c r="J114" t="str">
        <f t="shared" si="11"/>
        <v>https://www.euro-millions.com/results/07-04-2006</v>
      </c>
      <c r="K114" t="str">
        <f t="shared" si="10"/>
        <v>http://lottery.merseyworld.com/Euro/archive/Lott113.html</v>
      </c>
    </row>
    <row r="115" spans="1:11" x14ac:dyDescent="0.25">
      <c r="A115">
        <v>114</v>
      </c>
      <c r="B115" s="2" t="str">
        <f t="shared" si="6"/>
        <v>14-04-2006</v>
      </c>
      <c r="C115" t="s">
        <v>10</v>
      </c>
      <c r="D115">
        <v>14</v>
      </c>
      <c r="E115" t="str">
        <f t="shared" si="7"/>
        <v>14</v>
      </c>
      <c r="F115">
        <v>4</v>
      </c>
      <c r="G115" t="str">
        <f t="shared" si="8"/>
        <v>04</v>
      </c>
      <c r="H115">
        <v>2006</v>
      </c>
      <c r="I115" t="str">
        <f t="shared" si="9"/>
        <v>200604</v>
      </c>
      <c r="J115" t="str">
        <f t="shared" si="11"/>
        <v>https://www.euro-millions.com/results/14-04-2006</v>
      </c>
      <c r="K115" t="str">
        <f t="shared" si="10"/>
        <v>http://lottery.merseyworld.com/Euro/archive/Lott114.html</v>
      </c>
    </row>
    <row r="116" spans="1:11" x14ac:dyDescent="0.25">
      <c r="A116">
        <v>115</v>
      </c>
      <c r="B116" s="2" t="str">
        <f t="shared" si="6"/>
        <v>21-04-2006</v>
      </c>
      <c r="C116" t="s">
        <v>10</v>
      </c>
      <c r="D116">
        <v>21</v>
      </c>
      <c r="E116" t="str">
        <f t="shared" si="7"/>
        <v>21</v>
      </c>
      <c r="F116">
        <v>4</v>
      </c>
      <c r="G116" t="str">
        <f t="shared" si="8"/>
        <v>04</v>
      </c>
      <c r="H116">
        <v>2006</v>
      </c>
      <c r="I116" t="str">
        <f t="shared" si="9"/>
        <v>200604</v>
      </c>
      <c r="J116" t="str">
        <f t="shared" si="11"/>
        <v>https://www.euro-millions.com/results/21-04-2006</v>
      </c>
      <c r="K116" t="str">
        <f t="shared" si="10"/>
        <v>http://lottery.merseyworld.com/Euro/archive/Lott115.html</v>
      </c>
    </row>
    <row r="117" spans="1:11" x14ac:dyDescent="0.25">
      <c r="A117">
        <v>116</v>
      </c>
      <c r="B117" s="2" t="str">
        <f t="shared" si="6"/>
        <v>28-04-2006</v>
      </c>
      <c r="C117" t="s">
        <v>10</v>
      </c>
      <c r="D117">
        <v>28</v>
      </c>
      <c r="E117" t="str">
        <f t="shared" si="7"/>
        <v>28</v>
      </c>
      <c r="F117">
        <v>4</v>
      </c>
      <c r="G117" t="str">
        <f t="shared" si="8"/>
        <v>04</v>
      </c>
      <c r="H117">
        <v>2006</v>
      </c>
      <c r="I117" t="str">
        <f t="shared" si="9"/>
        <v>200604</v>
      </c>
      <c r="J117" t="str">
        <f t="shared" si="11"/>
        <v>https://www.euro-millions.com/results/28-04-2006</v>
      </c>
      <c r="K117" t="str">
        <f t="shared" si="10"/>
        <v>http://lottery.merseyworld.com/Euro/archive/Lott116.html</v>
      </c>
    </row>
    <row r="118" spans="1:11" x14ac:dyDescent="0.25">
      <c r="A118">
        <v>117</v>
      </c>
      <c r="B118" s="2" t="str">
        <f t="shared" si="6"/>
        <v>05-05-2006</v>
      </c>
      <c r="C118" t="s">
        <v>10</v>
      </c>
      <c r="D118">
        <v>5</v>
      </c>
      <c r="E118" t="str">
        <f t="shared" si="7"/>
        <v>05</v>
      </c>
      <c r="F118">
        <v>5</v>
      </c>
      <c r="G118" t="str">
        <f t="shared" si="8"/>
        <v>05</v>
      </c>
      <c r="H118">
        <v>2006</v>
      </c>
      <c r="I118" t="str">
        <f t="shared" si="9"/>
        <v>200605</v>
      </c>
      <c r="J118" t="str">
        <f t="shared" si="11"/>
        <v>https://www.euro-millions.com/results/05-05-2006</v>
      </c>
      <c r="K118" t="str">
        <f t="shared" si="10"/>
        <v>http://lottery.merseyworld.com/Euro/archive/Lott117.html</v>
      </c>
    </row>
    <row r="119" spans="1:11" x14ac:dyDescent="0.25">
      <c r="A119">
        <v>118</v>
      </c>
      <c r="B119" s="2" t="str">
        <f t="shared" si="6"/>
        <v>12-05-2006</v>
      </c>
      <c r="C119" t="s">
        <v>10</v>
      </c>
      <c r="D119">
        <v>12</v>
      </c>
      <c r="E119" t="str">
        <f t="shared" si="7"/>
        <v>12</v>
      </c>
      <c r="F119">
        <v>5</v>
      </c>
      <c r="G119" t="str">
        <f t="shared" si="8"/>
        <v>05</v>
      </c>
      <c r="H119">
        <v>2006</v>
      </c>
      <c r="I119" t="str">
        <f t="shared" si="9"/>
        <v>200605</v>
      </c>
      <c r="J119" t="str">
        <f t="shared" si="11"/>
        <v>https://www.euro-millions.com/results/12-05-2006</v>
      </c>
      <c r="K119" t="str">
        <f t="shared" si="10"/>
        <v>http://lottery.merseyworld.com/Euro/archive/Lott118.html</v>
      </c>
    </row>
    <row r="120" spans="1:11" x14ac:dyDescent="0.25">
      <c r="A120">
        <v>119</v>
      </c>
      <c r="B120" s="2" t="str">
        <f t="shared" si="6"/>
        <v>19-05-2006</v>
      </c>
      <c r="C120" t="s">
        <v>10</v>
      </c>
      <c r="D120">
        <v>19</v>
      </c>
      <c r="E120" t="str">
        <f t="shared" si="7"/>
        <v>19</v>
      </c>
      <c r="F120">
        <v>5</v>
      </c>
      <c r="G120" t="str">
        <f t="shared" si="8"/>
        <v>05</v>
      </c>
      <c r="H120">
        <v>2006</v>
      </c>
      <c r="I120" t="str">
        <f t="shared" si="9"/>
        <v>200605</v>
      </c>
      <c r="J120" t="str">
        <f t="shared" si="11"/>
        <v>https://www.euro-millions.com/results/19-05-2006</v>
      </c>
      <c r="K120" t="str">
        <f t="shared" si="10"/>
        <v>http://lottery.merseyworld.com/Euro/archive/Lott119.html</v>
      </c>
    </row>
    <row r="121" spans="1:11" x14ac:dyDescent="0.25">
      <c r="A121">
        <v>120</v>
      </c>
      <c r="B121" s="2" t="str">
        <f t="shared" si="6"/>
        <v>26-05-2006</v>
      </c>
      <c r="C121" t="s">
        <v>10</v>
      </c>
      <c r="D121">
        <v>26</v>
      </c>
      <c r="E121" t="str">
        <f t="shared" si="7"/>
        <v>26</v>
      </c>
      <c r="F121">
        <v>5</v>
      </c>
      <c r="G121" t="str">
        <f t="shared" si="8"/>
        <v>05</v>
      </c>
      <c r="H121">
        <v>2006</v>
      </c>
      <c r="I121" t="str">
        <f t="shared" si="9"/>
        <v>200605</v>
      </c>
      <c r="J121" t="str">
        <f t="shared" si="11"/>
        <v>https://www.euro-millions.com/results/26-05-2006</v>
      </c>
      <c r="K121" t="str">
        <f t="shared" si="10"/>
        <v>http://lottery.merseyworld.com/Euro/archive/Lott120.html</v>
      </c>
    </row>
    <row r="122" spans="1:11" x14ac:dyDescent="0.25">
      <c r="A122">
        <v>121</v>
      </c>
      <c r="B122" s="2" t="str">
        <f t="shared" si="6"/>
        <v>02-06-2006</v>
      </c>
      <c r="C122" t="s">
        <v>10</v>
      </c>
      <c r="D122">
        <v>2</v>
      </c>
      <c r="E122" t="str">
        <f t="shared" si="7"/>
        <v>02</v>
      </c>
      <c r="F122">
        <v>6</v>
      </c>
      <c r="G122" t="str">
        <f t="shared" si="8"/>
        <v>06</v>
      </c>
      <c r="H122">
        <v>2006</v>
      </c>
      <c r="I122" t="str">
        <f t="shared" si="9"/>
        <v>200606</v>
      </c>
      <c r="J122" t="str">
        <f t="shared" si="11"/>
        <v>https://www.euro-millions.com/results/02-06-2006</v>
      </c>
      <c r="K122" t="str">
        <f t="shared" si="10"/>
        <v>http://lottery.merseyworld.com/Euro/archive/Lott121.html</v>
      </c>
    </row>
    <row r="123" spans="1:11" x14ac:dyDescent="0.25">
      <c r="A123">
        <v>122</v>
      </c>
      <c r="B123" s="2" t="str">
        <f t="shared" si="6"/>
        <v>09-06-2006</v>
      </c>
      <c r="C123" t="s">
        <v>10</v>
      </c>
      <c r="D123">
        <v>9</v>
      </c>
      <c r="E123" t="str">
        <f t="shared" si="7"/>
        <v>09</v>
      </c>
      <c r="F123">
        <v>6</v>
      </c>
      <c r="G123" t="str">
        <f t="shared" si="8"/>
        <v>06</v>
      </c>
      <c r="H123">
        <v>2006</v>
      </c>
      <c r="I123" t="str">
        <f t="shared" si="9"/>
        <v>200606</v>
      </c>
      <c r="J123" t="str">
        <f t="shared" si="11"/>
        <v>https://www.euro-millions.com/results/09-06-2006</v>
      </c>
      <c r="K123" t="str">
        <f t="shared" si="10"/>
        <v>http://lottery.merseyworld.com/Euro/archive/Lott122.html</v>
      </c>
    </row>
    <row r="124" spans="1:11" x14ac:dyDescent="0.25">
      <c r="A124">
        <v>123</v>
      </c>
      <c r="B124" s="2" t="str">
        <f t="shared" si="6"/>
        <v>16-06-2006</v>
      </c>
      <c r="C124" t="s">
        <v>10</v>
      </c>
      <c r="D124">
        <v>16</v>
      </c>
      <c r="E124" t="str">
        <f t="shared" si="7"/>
        <v>16</v>
      </c>
      <c r="F124">
        <v>6</v>
      </c>
      <c r="G124" t="str">
        <f t="shared" si="8"/>
        <v>06</v>
      </c>
      <c r="H124">
        <v>2006</v>
      </c>
      <c r="I124" t="str">
        <f t="shared" si="9"/>
        <v>200606</v>
      </c>
      <c r="J124" t="str">
        <f t="shared" si="11"/>
        <v>https://www.euro-millions.com/results/16-06-2006</v>
      </c>
      <c r="K124" t="str">
        <f t="shared" si="10"/>
        <v>http://lottery.merseyworld.com/Euro/archive/Lott123.html</v>
      </c>
    </row>
    <row r="125" spans="1:11" x14ac:dyDescent="0.25">
      <c r="A125">
        <v>124</v>
      </c>
      <c r="B125" s="2" t="str">
        <f t="shared" si="6"/>
        <v>23-06-2006</v>
      </c>
      <c r="C125" t="s">
        <v>10</v>
      </c>
      <c r="D125">
        <v>23</v>
      </c>
      <c r="E125" t="str">
        <f t="shared" si="7"/>
        <v>23</v>
      </c>
      <c r="F125">
        <v>6</v>
      </c>
      <c r="G125" t="str">
        <f t="shared" si="8"/>
        <v>06</v>
      </c>
      <c r="H125">
        <v>2006</v>
      </c>
      <c r="I125" t="str">
        <f t="shared" si="9"/>
        <v>200606</v>
      </c>
      <c r="J125" t="str">
        <f t="shared" si="11"/>
        <v>https://www.euro-millions.com/results/23-06-2006</v>
      </c>
      <c r="K125" t="str">
        <f t="shared" si="10"/>
        <v>http://lottery.merseyworld.com/Euro/archive/Lott124.html</v>
      </c>
    </row>
    <row r="126" spans="1:11" x14ac:dyDescent="0.25">
      <c r="A126">
        <v>125</v>
      </c>
      <c r="B126" s="2" t="str">
        <f t="shared" si="6"/>
        <v>30-06-2006</v>
      </c>
      <c r="C126" t="s">
        <v>10</v>
      </c>
      <c r="D126">
        <v>30</v>
      </c>
      <c r="E126" t="str">
        <f t="shared" si="7"/>
        <v>30</v>
      </c>
      <c r="F126">
        <v>6</v>
      </c>
      <c r="G126" t="str">
        <f t="shared" si="8"/>
        <v>06</v>
      </c>
      <c r="H126">
        <v>2006</v>
      </c>
      <c r="I126" t="str">
        <f t="shared" si="9"/>
        <v>200606</v>
      </c>
      <c r="J126" t="str">
        <f t="shared" si="11"/>
        <v>https://www.euro-millions.com/results/30-06-2006</v>
      </c>
      <c r="K126" t="str">
        <f t="shared" si="10"/>
        <v>http://lottery.merseyworld.com/Euro/archive/Lott125.html</v>
      </c>
    </row>
    <row r="127" spans="1:11" x14ac:dyDescent="0.25">
      <c r="A127">
        <v>126</v>
      </c>
      <c r="B127" s="2" t="str">
        <f t="shared" si="6"/>
        <v>07-07-2006</v>
      </c>
      <c r="C127" t="s">
        <v>10</v>
      </c>
      <c r="D127">
        <v>7</v>
      </c>
      <c r="E127" t="str">
        <f t="shared" si="7"/>
        <v>07</v>
      </c>
      <c r="F127">
        <v>7</v>
      </c>
      <c r="G127" t="str">
        <f t="shared" si="8"/>
        <v>07</v>
      </c>
      <c r="H127">
        <v>2006</v>
      </c>
      <c r="I127" t="str">
        <f t="shared" si="9"/>
        <v>200607</v>
      </c>
      <c r="J127" t="str">
        <f t="shared" si="11"/>
        <v>https://www.euro-millions.com/results/07-07-2006</v>
      </c>
      <c r="K127" t="str">
        <f t="shared" si="10"/>
        <v>http://lottery.merseyworld.com/Euro/archive/Lott126.html</v>
      </c>
    </row>
    <row r="128" spans="1:11" x14ac:dyDescent="0.25">
      <c r="A128">
        <v>127</v>
      </c>
      <c r="B128" s="2" t="str">
        <f t="shared" si="6"/>
        <v>14-07-2006</v>
      </c>
      <c r="C128" t="s">
        <v>10</v>
      </c>
      <c r="D128">
        <v>14</v>
      </c>
      <c r="E128" t="str">
        <f t="shared" si="7"/>
        <v>14</v>
      </c>
      <c r="F128">
        <v>7</v>
      </c>
      <c r="G128" t="str">
        <f t="shared" si="8"/>
        <v>07</v>
      </c>
      <c r="H128">
        <v>2006</v>
      </c>
      <c r="I128" t="str">
        <f t="shared" si="9"/>
        <v>200607</v>
      </c>
      <c r="J128" t="str">
        <f t="shared" si="11"/>
        <v>https://www.euro-millions.com/results/14-07-2006</v>
      </c>
      <c r="K128" t="str">
        <f t="shared" si="10"/>
        <v>http://lottery.merseyworld.com/Euro/archive/Lott127.html</v>
      </c>
    </row>
    <row r="129" spans="1:11" x14ac:dyDescent="0.25">
      <c r="A129">
        <v>128</v>
      </c>
      <c r="B129" s="2" t="str">
        <f t="shared" si="6"/>
        <v>21-07-2006</v>
      </c>
      <c r="C129" t="s">
        <v>10</v>
      </c>
      <c r="D129">
        <v>21</v>
      </c>
      <c r="E129" t="str">
        <f t="shared" si="7"/>
        <v>21</v>
      </c>
      <c r="F129">
        <v>7</v>
      </c>
      <c r="G129" t="str">
        <f t="shared" si="8"/>
        <v>07</v>
      </c>
      <c r="H129">
        <v>2006</v>
      </c>
      <c r="I129" t="str">
        <f t="shared" si="9"/>
        <v>200607</v>
      </c>
      <c r="J129" t="str">
        <f t="shared" si="11"/>
        <v>https://www.euro-millions.com/results/21-07-2006</v>
      </c>
      <c r="K129" t="str">
        <f t="shared" si="10"/>
        <v>http://lottery.merseyworld.com/Euro/archive/Lott128.html</v>
      </c>
    </row>
    <row r="130" spans="1:11" x14ac:dyDescent="0.25">
      <c r="A130">
        <v>129</v>
      </c>
      <c r="B130" s="2" t="str">
        <f t="shared" si="6"/>
        <v>28-07-2006</v>
      </c>
      <c r="C130" t="s">
        <v>10</v>
      </c>
      <c r="D130">
        <v>28</v>
      </c>
      <c r="E130" t="str">
        <f t="shared" si="7"/>
        <v>28</v>
      </c>
      <c r="F130">
        <v>7</v>
      </c>
      <c r="G130" t="str">
        <f t="shared" si="8"/>
        <v>07</v>
      </c>
      <c r="H130">
        <v>2006</v>
      </c>
      <c r="I130" t="str">
        <f t="shared" si="9"/>
        <v>200607</v>
      </c>
      <c r="J130" t="str">
        <f t="shared" si="11"/>
        <v>https://www.euro-millions.com/results/28-07-2006</v>
      </c>
      <c r="K130" t="str">
        <f t="shared" si="10"/>
        <v>http://lottery.merseyworld.com/Euro/archive/Lott129.html</v>
      </c>
    </row>
    <row r="131" spans="1:11" x14ac:dyDescent="0.25">
      <c r="A131">
        <v>130</v>
      </c>
      <c r="B131" s="2" t="str">
        <f t="shared" ref="B131:B194" si="12">CONCATENATE(E131,"-",G131,"-",H131)</f>
        <v>04-08-2006</v>
      </c>
      <c r="C131" t="s">
        <v>10</v>
      </c>
      <c r="D131">
        <v>4</v>
      </c>
      <c r="E131" t="str">
        <f t="shared" ref="E131:E194" si="13">CONCATENATE(IF(LEN(D131)=1,CONCATENATE("0",D131),D131))</f>
        <v>04</v>
      </c>
      <c r="F131">
        <v>8</v>
      </c>
      <c r="G131" t="str">
        <f t="shared" ref="G131:G194" si="14">CONCATENATE(IF(LEN(F131)=1,CONCATENATE("0",F131),F131))</f>
        <v>08</v>
      </c>
      <c r="H131">
        <v>2006</v>
      </c>
      <c r="I131" t="str">
        <f t="shared" ref="I131:I194" si="15">CONCATENATE(H131,IF(LEN(F131)=1,CONCATENATE("0",F131),F131))</f>
        <v>200608</v>
      </c>
      <c r="J131" t="str">
        <f t="shared" si="11"/>
        <v>https://www.euro-millions.com/results/04-08-2006</v>
      </c>
      <c r="K131" t="str">
        <f t="shared" ref="K131:K194" si="16">CONCATENATE("http://lottery.merseyworld.com/Euro/archive/Lott",RIGHT(CONCATENATE("00",A131),3),".html")</f>
        <v>http://lottery.merseyworld.com/Euro/archive/Lott130.html</v>
      </c>
    </row>
    <row r="132" spans="1:11" x14ac:dyDescent="0.25">
      <c r="A132">
        <v>131</v>
      </c>
      <c r="B132" s="2" t="str">
        <f t="shared" si="12"/>
        <v>11-08-2006</v>
      </c>
      <c r="C132" t="s">
        <v>10</v>
      </c>
      <c r="D132">
        <v>11</v>
      </c>
      <c r="E132" t="str">
        <f t="shared" si="13"/>
        <v>11</v>
      </c>
      <c r="F132">
        <v>8</v>
      </c>
      <c r="G132" t="str">
        <f t="shared" si="14"/>
        <v>08</v>
      </c>
      <c r="H132">
        <v>2006</v>
      </c>
      <c r="I132" t="str">
        <f t="shared" si="15"/>
        <v>200608</v>
      </c>
      <c r="J132" t="str">
        <f t="shared" si="11"/>
        <v>https://www.euro-millions.com/results/11-08-2006</v>
      </c>
      <c r="K132" t="str">
        <f t="shared" si="16"/>
        <v>http://lottery.merseyworld.com/Euro/archive/Lott131.html</v>
      </c>
    </row>
    <row r="133" spans="1:11" x14ac:dyDescent="0.25">
      <c r="A133">
        <v>132</v>
      </c>
      <c r="B133" s="2" t="str">
        <f t="shared" si="12"/>
        <v>18-08-2006</v>
      </c>
      <c r="C133" t="s">
        <v>10</v>
      </c>
      <c r="D133">
        <v>18</v>
      </c>
      <c r="E133" t="str">
        <f t="shared" si="13"/>
        <v>18</v>
      </c>
      <c r="F133">
        <v>8</v>
      </c>
      <c r="G133" t="str">
        <f t="shared" si="14"/>
        <v>08</v>
      </c>
      <c r="H133">
        <v>2006</v>
      </c>
      <c r="I133" t="str">
        <f t="shared" si="15"/>
        <v>200608</v>
      </c>
      <c r="J133" t="str">
        <f t="shared" si="11"/>
        <v>https://www.euro-millions.com/results/18-08-2006</v>
      </c>
      <c r="K133" t="str">
        <f t="shared" si="16"/>
        <v>http://lottery.merseyworld.com/Euro/archive/Lott132.html</v>
      </c>
    </row>
    <row r="134" spans="1:11" x14ac:dyDescent="0.25">
      <c r="A134">
        <v>133</v>
      </c>
      <c r="B134" s="2" t="str">
        <f t="shared" si="12"/>
        <v>25-08-2006</v>
      </c>
      <c r="C134" t="s">
        <v>10</v>
      </c>
      <c r="D134">
        <v>25</v>
      </c>
      <c r="E134" t="str">
        <f t="shared" si="13"/>
        <v>25</v>
      </c>
      <c r="F134">
        <v>8</v>
      </c>
      <c r="G134" t="str">
        <f t="shared" si="14"/>
        <v>08</v>
      </c>
      <c r="H134">
        <v>2006</v>
      </c>
      <c r="I134" t="str">
        <f t="shared" si="15"/>
        <v>200608</v>
      </c>
      <c r="J134" t="str">
        <f t="shared" si="11"/>
        <v>https://www.euro-millions.com/results/25-08-2006</v>
      </c>
      <c r="K134" t="str">
        <f t="shared" si="16"/>
        <v>http://lottery.merseyworld.com/Euro/archive/Lott133.html</v>
      </c>
    </row>
    <row r="135" spans="1:11" x14ac:dyDescent="0.25">
      <c r="A135">
        <v>134</v>
      </c>
      <c r="B135" s="2" t="str">
        <f t="shared" si="12"/>
        <v>01-09-2006</v>
      </c>
      <c r="C135" t="s">
        <v>10</v>
      </c>
      <c r="D135">
        <v>1</v>
      </c>
      <c r="E135" t="str">
        <f t="shared" si="13"/>
        <v>01</v>
      </c>
      <c r="F135">
        <v>9</v>
      </c>
      <c r="G135" t="str">
        <f t="shared" si="14"/>
        <v>09</v>
      </c>
      <c r="H135">
        <v>2006</v>
      </c>
      <c r="I135" t="str">
        <f t="shared" si="15"/>
        <v>200609</v>
      </c>
      <c r="J135" t="str">
        <f t="shared" si="11"/>
        <v>https://www.euro-millions.com/results/01-09-2006</v>
      </c>
      <c r="K135" t="str">
        <f t="shared" si="16"/>
        <v>http://lottery.merseyworld.com/Euro/archive/Lott134.html</v>
      </c>
    </row>
    <row r="136" spans="1:11" x14ac:dyDescent="0.25">
      <c r="A136">
        <v>135</v>
      </c>
      <c r="B136" s="2" t="str">
        <f t="shared" si="12"/>
        <v>08-09-2006</v>
      </c>
      <c r="C136" t="s">
        <v>10</v>
      </c>
      <c r="D136">
        <v>8</v>
      </c>
      <c r="E136" t="str">
        <f t="shared" si="13"/>
        <v>08</v>
      </c>
      <c r="F136">
        <v>9</v>
      </c>
      <c r="G136" t="str">
        <f t="shared" si="14"/>
        <v>09</v>
      </c>
      <c r="H136">
        <v>2006</v>
      </c>
      <c r="I136" t="str">
        <f t="shared" si="15"/>
        <v>200609</v>
      </c>
      <c r="J136" t="str">
        <f t="shared" ref="J136:J199" si="17">CONCATENATE("https://www.euro-millions.com/results/",E136,"-",G136,"-",H136)</f>
        <v>https://www.euro-millions.com/results/08-09-2006</v>
      </c>
      <c r="K136" t="str">
        <f t="shared" si="16"/>
        <v>http://lottery.merseyworld.com/Euro/archive/Lott135.html</v>
      </c>
    </row>
    <row r="137" spans="1:11" x14ac:dyDescent="0.25">
      <c r="A137">
        <v>136</v>
      </c>
      <c r="B137" s="2" t="str">
        <f t="shared" si="12"/>
        <v>15-09-2006</v>
      </c>
      <c r="C137" t="s">
        <v>10</v>
      </c>
      <c r="D137">
        <v>15</v>
      </c>
      <c r="E137" t="str">
        <f t="shared" si="13"/>
        <v>15</v>
      </c>
      <c r="F137">
        <v>9</v>
      </c>
      <c r="G137" t="str">
        <f t="shared" si="14"/>
        <v>09</v>
      </c>
      <c r="H137">
        <v>2006</v>
      </c>
      <c r="I137" t="str">
        <f t="shared" si="15"/>
        <v>200609</v>
      </c>
      <c r="J137" t="str">
        <f t="shared" si="17"/>
        <v>https://www.euro-millions.com/results/15-09-2006</v>
      </c>
      <c r="K137" t="str">
        <f t="shared" si="16"/>
        <v>http://lottery.merseyworld.com/Euro/archive/Lott136.html</v>
      </c>
    </row>
    <row r="138" spans="1:11" x14ac:dyDescent="0.25">
      <c r="A138">
        <v>137</v>
      </c>
      <c r="B138" s="2" t="str">
        <f t="shared" si="12"/>
        <v>22-09-2006</v>
      </c>
      <c r="C138" t="s">
        <v>10</v>
      </c>
      <c r="D138">
        <v>22</v>
      </c>
      <c r="E138" t="str">
        <f t="shared" si="13"/>
        <v>22</v>
      </c>
      <c r="F138">
        <v>9</v>
      </c>
      <c r="G138" t="str">
        <f t="shared" si="14"/>
        <v>09</v>
      </c>
      <c r="H138">
        <v>2006</v>
      </c>
      <c r="I138" t="str">
        <f t="shared" si="15"/>
        <v>200609</v>
      </c>
      <c r="J138" t="str">
        <f t="shared" si="17"/>
        <v>https://www.euro-millions.com/results/22-09-2006</v>
      </c>
      <c r="K138" t="str">
        <f t="shared" si="16"/>
        <v>http://lottery.merseyworld.com/Euro/archive/Lott137.html</v>
      </c>
    </row>
    <row r="139" spans="1:11" x14ac:dyDescent="0.25">
      <c r="A139">
        <v>138</v>
      </c>
      <c r="B139" s="2" t="str">
        <f t="shared" si="12"/>
        <v>29-09-2006</v>
      </c>
      <c r="C139" t="s">
        <v>10</v>
      </c>
      <c r="D139">
        <v>29</v>
      </c>
      <c r="E139" t="str">
        <f t="shared" si="13"/>
        <v>29</v>
      </c>
      <c r="F139">
        <v>9</v>
      </c>
      <c r="G139" t="str">
        <f t="shared" si="14"/>
        <v>09</v>
      </c>
      <c r="H139">
        <v>2006</v>
      </c>
      <c r="I139" t="str">
        <f t="shared" si="15"/>
        <v>200609</v>
      </c>
      <c r="J139" t="str">
        <f t="shared" si="17"/>
        <v>https://www.euro-millions.com/results/29-09-2006</v>
      </c>
      <c r="K139" t="str">
        <f t="shared" si="16"/>
        <v>http://lottery.merseyworld.com/Euro/archive/Lott138.html</v>
      </c>
    </row>
    <row r="140" spans="1:11" x14ac:dyDescent="0.25">
      <c r="A140">
        <v>139</v>
      </c>
      <c r="B140" s="2" t="str">
        <f t="shared" si="12"/>
        <v>06-10-2006</v>
      </c>
      <c r="C140" t="s">
        <v>10</v>
      </c>
      <c r="D140">
        <v>6</v>
      </c>
      <c r="E140" t="str">
        <f t="shared" si="13"/>
        <v>06</v>
      </c>
      <c r="F140">
        <v>10</v>
      </c>
      <c r="G140" t="str">
        <f t="shared" si="14"/>
        <v>10</v>
      </c>
      <c r="H140">
        <v>2006</v>
      </c>
      <c r="I140" t="str">
        <f t="shared" si="15"/>
        <v>200610</v>
      </c>
      <c r="J140" t="str">
        <f t="shared" si="17"/>
        <v>https://www.euro-millions.com/results/06-10-2006</v>
      </c>
      <c r="K140" t="str">
        <f t="shared" si="16"/>
        <v>http://lottery.merseyworld.com/Euro/archive/Lott139.html</v>
      </c>
    </row>
    <row r="141" spans="1:11" x14ac:dyDescent="0.25">
      <c r="A141">
        <v>140</v>
      </c>
      <c r="B141" s="2" t="str">
        <f t="shared" si="12"/>
        <v>13-10-2006</v>
      </c>
      <c r="C141" t="s">
        <v>10</v>
      </c>
      <c r="D141">
        <v>13</v>
      </c>
      <c r="E141" t="str">
        <f t="shared" si="13"/>
        <v>13</v>
      </c>
      <c r="F141">
        <v>10</v>
      </c>
      <c r="G141" t="str">
        <f t="shared" si="14"/>
        <v>10</v>
      </c>
      <c r="H141">
        <v>2006</v>
      </c>
      <c r="I141" t="str">
        <f t="shared" si="15"/>
        <v>200610</v>
      </c>
      <c r="J141" t="str">
        <f t="shared" si="17"/>
        <v>https://www.euro-millions.com/results/13-10-2006</v>
      </c>
      <c r="K141" t="str">
        <f t="shared" si="16"/>
        <v>http://lottery.merseyworld.com/Euro/archive/Lott140.html</v>
      </c>
    </row>
    <row r="142" spans="1:11" x14ac:dyDescent="0.25">
      <c r="A142">
        <v>141</v>
      </c>
      <c r="B142" s="2" t="str">
        <f t="shared" si="12"/>
        <v>20-10-2006</v>
      </c>
      <c r="C142" t="s">
        <v>10</v>
      </c>
      <c r="D142">
        <v>20</v>
      </c>
      <c r="E142" t="str">
        <f t="shared" si="13"/>
        <v>20</v>
      </c>
      <c r="F142">
        <v>10</v>
      </c>
      <c r="G142" t="str">
        <f t="shared" si="14"/>
        <v>10</v>
      </c>
      <c r="H142">
        <v>2006</v>
      </c>
      <c r="I142" t="str">
        <f t="shared" si="15"/>
        <v>200610</v>
      </c>
      <c r="J142" t="str">
        <f t="shared" si="17"/>
        <v>https://www.euro-millions.com/results/20-10-2006</v>
      </c>
      <c r="K142" t="str">
        <f t="shared" si="16"/>
        <v>http://lottery.merseyworld.com/Euro/archive/Lott141.html</v>
      </c>
    </row>
    <row r="143" spans="1:11" x14ac:dyDescent="0.25">
      <c r="A143">
        <v>142</v>
      </c>
      <c r="B143" s="2" t="str">
        <f t="shared" si="12"/>
        <v>27-10-2006</v>
      </c>
      <c r="C143" t="s">
        <v>10</v>
      </c>
      <c r="D143">
        <v>27</v>
      </c>
      <c r="E143" t="str">
        <f t="shared" si="13"/>
        <v>27</v>
      </c>
      <c r="F143">
        <v>10</v>
      </c>
      <c r="G143" t="str">
        <f t="shared" si="14"/>
        <v>10</v>
      </c>
      <c r="H143">
        <v>2006</v>
      </c>
      <c r="I143" t="str">
        <f t="shared" si="15"/>
        <v>200610</v>
      </c>
      <c r="J143" t="str">
        <f t="shared" si="17"/>
        <v>https://www.euro-millions.com/results/27-10-2006</v>
      </c>
      <c r="K143" t="str">
        <f t="shared" si="16"/>
        <v>http://lottery.merseyworld.com/Euro/archive/Lott142.html</v>
      </c>
    </row>
    <row r="144" spans="1:11" x14ac:dyDescent="0.25">
      <c r="A144">
        <v>143</v>
      </c>
      <c r="B144" s="2" t="str">
        <f t="shared" si="12"/>
        <v>03-11-2006</v>
      </c>
      <c r="C144" t="s">
        <v>10</v>
      </c>
      <c r="D144">
        <v>3</v>
      </c>
      <c r="E144" t="str">
        <f t="shared" si="13"/>
        <v>03</v>
      </c>
      <c r="F144">
        <v>11</v>
      </c>
      <c r="G144" t="str">
        <f t="shared" si="14"/>
        <v>11</v>
      </c>
      <c r="H144">
        <v>2006</v>
      </c>
      <c r="I144" t="str">
        <f t="shared" si="15"/>
        <v>200611</v>
      </c>
      <c r="J144" t="str">
        <f t="shared" si="17"/>
        <v>https://www.euro-millions.com/results/03-11-2006</v>
      </c>
      <c r="K144" t="str">
        <f t="shared" si="16"/>
        <v>http://lottery.merseyworld.com/Euro/archive/Lott143.html</v>
      </c>
    </row>
    <row r="145" spans="1:11" x14ac:dyDescent="0.25">
      <c r="A145">
        <v>144</v>
      </c>
      <c r="B145" s="2" t="str">
        <f t="shared" si="12"/>
        <v>10-11-2006</v>
      </c>
      <c r="C145" t="s">
        <v>10</v>
      </c>
      <c r="D145">
        <v>10</v>
      </c>
      <c r="E145" t="str">
        <f t="shared" si="13"/>
        <v>10</v>
      </c>
      <c r="F145">
        <v>11</v>
      </c>
      <c r="G145" t="str">
        <f t="shared" si="14"/>
        <v>11</v>
      </c>
      <c r="H145">
        <v>2006</v>
      </c>
      <c r="I145" t="str">
        <f t="shared" si="15"/>
        <v>200611</v>
      </c>
      <c r="J145" t="str">
        <f t="shared" si="17"/>
        <v>https://www.euro-millions.com/results/10-11-2006</v>
      </c>
      <c r="K145" t="str">
        <f t="shared" si="16"/>
        <v>http://lottery.merseyworld.com/Euro/archive/Lott144.html</v>
      </c>
    </row>
    <row r="146" spans="1:11" x14ac:dyDescent="0.25">
      <c r="A146">
        <v>145</v>
      </c>
      <c r="B146" s="2" t="str">
        <f t="shared" si="12"/>
        <v>17-11-2006</v>
      </c>
      <c r="C146" t="s">
        <v>10</v>
      </c>
      <c r="D146">
        <v>17</v>
      </c>
      <c r="E146" t="str">
        <f t="shared" si="13"/>
        <v>17</v>
      </c>
      <c r="F146">
        <v>11</v>
      </c>
      <c r="G146" t="str">
        <f t="shared" si="14"/>
        <v>11</v>
      </c>
      <c r="H146">
        <v>2006</v>
      </c>
      <c r="I146" t="str">
        <f t="shared" si="15"/>
        <v>200611</v>
      </c>
      <c r="J146" t="str">
        <f t="shared" si="17"/>
        <v>https://www.euro-millions.com/results/17-11-2006</v>
      </c>
      <c r="K146" t="str">
        <f t="shared" si="16"/>
        <v>http://lottery.merseyworld.com/Euro/archive/Lott145.html</v>
      </c>
    </row>
    <row r="147" spans="1:11" x14ac:dyDescent="0.25">
      <c r="A147">
        <v>146</v>
      </c>
      <c r="B147" s="2" t="str">
        <f t="shared" si="12"/>
        <v>24-11-2006</v>
      </c>
      <c r="C147" t="s">
        <v>10</v>
      </c>
      <c r="D147">
        <v>24</v>
      </c>
      <c r="E147" t="str">
        <f t="shared" si="13"/>
        <v>24</v>
      </c>
      <c r="F147">
        <v>11</v>
      </c>
      <c r="G147" t="str">
        <f t="shared" si="14"/>
        <v>11</v>
      </c>
      <c r="H147">
        <v>2006</v>
      </c>
      <c r="I147" t="str">
        <f t="shared" si="15"/>
        <v>200611</v>
      </c>
      <c r="J147" t="str">
        <f t="shared" si="17"/>
        <v>https://www.euro-millions.com/results/24-11-2006</v>
      </c>
      <c r="K147" t="str">
        <f t="shared" si="16"/>
        <v>http://lottery.merseyworld.com/Euro/archive/Lott146.html</v>
      </c>
    </row>
    <row r="148" spans="1:11" x14ac:dyDescent="0.25">
      <c r="A148">
        <v>147</v>
      </c>
      <c r="B148" s="2" t="str">
        <f t="shared" si="12"/>
        <v>01-12-2006</v>
      </c>
      <c r="C148" t="s">
        <v>10</v>
      </c>
      <c r="D148">
        <v>1</v>
      </c>
      <c r="E148" t="str">
        <f t="shared" si="13"/>
        <v>01</v>
      </c>
      <c r="F148">
        <v>12</v>
      </c>
      <c r="G148" t="str">
        <f t="shared" si="14"/>
        <v>12</v>
      </c>
      <c r="H148">
        <v>2006</v>
      </c>
      <c r="I148" t="str">
        <f t="shared" si="15"/>
        <v>200612</v>
      </c>
      <c r="J148" t="str">
        <f t="shared" si="17"/>
        <v>https://www.euro-millions.com/results/01-12-2006</v>
      </c>
      <c r="K148" t="str">
        <f t="shared" si="16"/>
        <v>http://lottery.merseyworld.com/Euro/archive/Lott147.html</v>
      </c>
    </row>
    <row r="149" spans="1:11" x14ac:dyDescent="0.25">
      <c r="A149">
        <v>148</v>
      </c>
      <c r="B149" s="2" t="str">
        <f t="shared" si="12"/>
        <v>08-12-2006</v>
      </c>
      <c r="C149" t="s">
        <v>10</v>
      </c>
      <c r="D149">
        <v>8</v>
      </c>
      <c r="E149" t="str">
        <f t="shared" si="13"/>
        <v>08</v>
      </c>
      <c r="F149">
        <v>12</v>
      </c>
      <c r="G149" t="str">
        <f t="shared" si="14"/>
        <v>12</v>
      </c>
      <c r="H149">
        <v>2006</v>
      </c>
      <c r="I149" t="str">
        <f t="shared" si="15"/>
        <v>200612</v>
      </c>
      <c r="J149" t="str">
        <f t="shared" si="17"/>
        <v>https://www.euro-millions.com/results/08-12-2006</v>
      </c>
      <c r="K149" t="str">
        <f t="shared" si="16"/>
        <v>http://lottery.merseyworld.com/Euro/archive/Lott148.html</v>
      </c>
    </row>
    <row r="150" spans="1:11" x14ac:dyDescent="0.25">
      <c r="A150">
        <v>149</v>
      </c>
      <c r="B150" s="2" t="str">
        <f t="shared" si="12"/>
        <v>15-12-2006</v>
      </c>
      <c r="C150" t="s">
        <v>10</v>
      </c>
      <c r="D150">
        <v>15</v>
      </c>
      <c r="E150" t="str">
        <f t="shared" si="13"/>
        <v>15</v>
      </c>
      <c r="F150">
        <v>12</v>
      </c>
      <c r="G150" t="str">
        <f t="shared" si="14"/>
        <v>12</v>
      </c>
      <c r="H150">
        <v>2006</v>
      </c>
      <c r="I150" t="str">
        <f t="shared" si="15"/>
        <v>200612</v>
      </c>
      <c r="J150" t="str">
        <f t="shared" si="17"/>
        <v>https://www.euro-millions.com/results/15-12-2006</v>
      </c>
      <c r="K150" t="str">
        <f t="shared" si="16"/>
        <v>http://lottery.merseyworld.com/Euro/archive/Lott149.html</v>
      </c>
    </row>
    <row r="151" spans="1:11" x14ac:dyDescent="0.25">
      <c r="A151">
        <v>150</v>
      </c>
      <c r="B151" s="2" t="str">
        <f t="shared" si="12"/>
        <v>22-12-2006</v>
      </c>
      <c r="C151" t="s">
        <v>10</v>
      </c>
      <c r="D151">
        <v>22</v>
      </c>
      <c r="E151" t="str">
        <f t="shared" si="13"/>
        <v>22</v>
      </c>
      <c r="F151">
        <v>12</v>
      </c>
      <c r="G151" t="str">
        <f t="shared" si="14"/>
        <v>12</v>
      </c>
      <c r="H151">
        <v>2006</v>
      </c>
      <c r="I151" t="str">
        <f t="shared" si="15"/>
        <v>200612</v>
      </c>
      <c r="J151" t="str">
        <f t="shared" si="17"/>
        <v>https://www.euro-millions.com/results/22-12-2006</v>
      </c>
      <c r="K151" t="str">
        <f t="shared" si="16"/>
        <v>http://lottery.merseyworld.com/Euro/archive/Lott150.html</v>
      </c>
    </row>
    <row r="152" spans="1:11" x14ac:dyDescent="0.25">
      <c r="A152">
        <v>151</v>
      </c>
      <c r="B152" s="2" t="str">
        <f t="shared" si="12"/>
        <v>29-12-2006</v>
      </c>
      <c r="C152" t="s">
        <v>10</v>
      </c>
      <c r="D152">
        <v>29</v>
      </c>
      <c r="E152" t="str">
        <f t="shared" si="13"/>
        <v>29</v>
      </c>
      <c r="F152">
        <v>12</v>
      </c>
      <c r="G152" t="str">
        <f t="shared" si="14"/>
        <v>12</v>
      </c>
      <c r="H152">
        <v>2006</v>
      </c>
      <c r="I152" t="str">
        <f t="shared" si="15"/>
        <v>200612</v>
      </c>
      <c r="J152" t="str">
        <f t="shared" si="17"/>
        <v>https://www.euro-millions.com/results/29-12-2006</v>
      </c>
      <c r="K152" t="str">
        <f t="shared" si="16"/>
        <v>http://lottery.merseyworld.com/Euro/archive/Lott151.html</v>
      </c>
    </row>
    <row r="153" spans="1:11" x14ac:dyDescent="0.25">
      <c r="A153">
        <v>152</v>
      </c>
      <c r="B153" s="2" t="str">
        <f t="shared" si="12"/>
        <v>05-01-2007</v>
      </c>
      <c r="C153" t="s">
        <v>10</v>
      </c>
      <c r="D153">
        <v>5</v>
      </c>
      <c r="E153" t="str">
        <f t="shared" si="13"/>
        <v>05</v>
      </c>
      <c r="F153">
        <v>1</v>
      </c>
      <c r="G153" t="str">
        <f t="shared" si="14"/>
        <v>01</v>
      </c>
      <c r="H153">
        <v>2007</v>
      </c>
      <c r="I153" t="str">
        <f t="shared" si="15"/>
        <v>200701</v>
      </c>
      <c r="J153" t="str">
        <f t="shared" si="17"/>
        <v>https://www.euro-millions.com/results/05-01-2007</v>
      </c>
      <c r="K153" t="str">
        <f t="shared" si="16"/>
        <v>http://lottery.merseyworld.com/Euro/archive/Lott152.html</v>
      </c>
    </row>
    <row r="154" spans="1:11" x14ac:dyDescent="0.25">
      <c r="A154">
        <v>153</v>
      </c>
      <c r="B154" s="2" t="str">
        <f t="shared" si="12"/>
        <v>12-01-2007</v>
      </c>
      <c r="C154" t="s">
        <v>10</v>
      </c>
      <c r="D154">
        <v>12</v>
      </c>
      <c r="E154" t="str">
        <f t="shared" si="13"/>
        <v>12</v>
      </c>
      <c r="F154">
        <v>1</v>
      </c>
      <c r="G154" t="str">
        <f t="shared" si="14"/>
        <v>01</v>
      </c>
      <c r="H154">
        <v>2007</v>
      </c>
      <c r="I154" t="str">
        <f t="shared" si="15"/>
        <v>200701</v>
      </c>
      <c r="J154" t="str">
        <f t="shared" si="17"/>
        <v>https://www.euro-millions.com/results/12-01-2007</v>
      </c>
      <c r="K154" t="str">
        <f t="shared" si="16"/>
        <v>http://lottery.merseyworld.com/Euro/archive/Lott153.html</v>
      </c>
    </row>
    <row r="155" spans="1:11" x14ac:dyDescent="0.25">
      <c r="A155">
        <v>154</v>
      </c>
      <c r="B155" s="2" t="str">
        <f t="shared" si="12"/>
        <v>19-01-2007</v>
      </c>
      <c r="C155" t="s">
        <v>10</v>
      </c>
      <c r="D155">
        <v>19</v>
      </c>
      <c r="E155" t="str">
        <f t="shared" si="13"/>
        <v>19</v>
      </c>
      <c r="F155">
        <v>1</v>
      </c>
      <c r="G155" t="str">
        <f t="shared" si="14"/>
        <v>01</v>
      </c>
      <c r="H155">
        <v>2007</v>
      </c>
      <c r="I155" t="str">
        <f t="shared" si="15"/>
        <v>200701</v>
      </c>
      <c r="J155" t="str">
        <f t="shared" si="17"/>
        <v>https://www.euro-millions.com/results/19-01-2007</v>
      </c>
      <c r="K155" t="str">
        <f t="shared" si="16"/>
        <v>http://lottery.merseyworld.com/Euro/archive/Lott154.html</v>
      </c>
    </row>
    <row r="156" spans="1:11" x14ac:dyDescent="0.25">
      <c r="A156">
        <v>155</v>
      </c>
      <c r="B156" s="2" t="str">
        <f t="shared" si="12"/>
        <v>26-01-2007</v>
      </c>
      <c r="C156" t="s">
        <v>10</v>
      </c>
      <c r="D156">
        <v>26</v>
      </c>
      <c r="E156" t="str">
        <f t="shared" si="13"/>
        <v>26</v>
      </c>
      <c r="F156">
        <v>1</v>
      </c>
      <c r="G156" t="str">
        <f t="shared" si="14"/>
        <v>01</v>
      </c>
      <c r="H156">
        <v>2007</v>
      </c>
      <c r="I156" t="str">
        <f t="shared" si="15"/>
        <v>200701</v>
      </c>
      <c r="J156" t="str">
        <f t="shared" si="17"/>
        <v>https://www.euro-millions.com/results/26-01-2007</v>
      </c>
      <c r="K156" t="str">
        <f t="shared" si="16"/>
        <v>http://lottery.merseyworld.com/Euro/archive/Lott155.html</v>
      </c>
    </row>
    <row r="157" spans="1:11" x14ac:dyDescent="0.25">
      <c r="A157">
        <v>156</v>
      </c>
      <c r="B157" s="2" t="str">
        <f t="shared" si="12"/>
        <v>02-02-2007</v>
      </c>
      <c r="C157" t="s">
        <v>10</v>
      </c>
      <c r="D157">
        <v>2</v>
      </c>
      <c r="E157" t="str">
        <f t="shared" si="13"/>
        <v>02</v>
      </c>
      <c r="F157">
        <v>2</v>
      </c>
      <c r="G157" t="str">
        <f t="shared" si="14"/>
        <v>02</v>
      </c>
      <c r="H157">
        <v>2007</v>
      </c>
      <c r="I157" t="str">
        <f t="shared" si="15"/>
        <v>200702</v>
      </c>
      <c r="J157" t="str">
        <f t="shared" si="17"/>
        <v>https://www.euro-millions.com/results/02-02-2007</v>
      </c>
      <c r="K157" t="str">
        <f t="shared" si="16"/>
        <v>http://lottery.merseyworld.com/Euro/archive/Lott156.html</v>
      </c>
    </row>
    <row r="158" spans="1:11" x14ac:dyDescent="0.25">
      <c r="A158">
        <v>157</v>
      </c>
      <c r="B158" s="2" t="str">
        <f t="shared" si="12"/>
        <v>09-02-2007</v>
      </c>
      <c r="C158" t="s">
        <v>10</v>
      </c>
      <c r="D158">
        <v>9</v>
      </c>
      <c r="E158" t="str">
        <f t="shared" si="13"/>
        <v>09</v>
      </c>
      <c r="F158">
        <v>2</v>
      </c>
      <c r="G158" t="str">
        <f t="shared" si="14"/>
        <v>02</v>
      </c>
      <c r="H158">
        <v>2007</v>
      </c>
      <c r="I158" t="str">
        <f t="shared" si="15"/>
        <v>200702</v>
      </c>
      <c r="J158" t="str">
        <f t="shared" si="17"/>
        <v>https://www.euro-millions.com/results/09-02-2007</v>
      </c>
      <c r="K158" t="str">
        <f t="shared" si="16"/>
        <v>http://lottery.merseyworld.com/Euro/archive/Lott157.html</v>
      </c>
    </row>
    <row r="159" spans="1:11" x14ac:dyDescent="0.25">
      <c r="A159">
        <v>158</v>
      </c>
      <c r="B159" s="2" t="str">
        <f t="shared" si="12"/>
        <v>16-02-2007</v>
      </c>
      <c r="C159" t="s">
        <v>10</v>
      </c>
      <c r="D159">
        <v>16</v>
      </c>
      <c r="E159" t="str">
        <f t="shared" si="13"/>
        <v>16</v>
      </c>
      <c r="F159">
        <v>2</v>
      </c>
      <c r="G159" t="str">
        <f t="shared" si="14"/>
        <v>02</v>
      </c>
      <c r="H159">
        <v>2007</v>
      </c>
      <c r="I159" t="str">
        <f t="shared" si="15"/>
        <v>200702</v>
      </c>
      <c r="J159" t="str">
        <f t="shared" si="17"/>
        <v>https://www.euro-millions.com/results/16-02-2007</v>
      </c>
      <c r="K159" t="str">
        <f t="shared" si="16"/>
        <v>http://lottery.merseyworld.com/Euro/archive/Lott158.html</v>
      </c>
    </row>
    <row r="160" spans="1:11" x14ac:dyDescent="0.25">
      <c r="A160">
        <v>159</v>
      </c>
      <c r="B160" s="2" t="str">
        <f t="shared" si="12"/>
        <v>23-02-2007</v>
      </c>
      <c r="C160" t="s">
        <v>10</v>
      </c>
      <c r="D160">
        <v>23</v>
      </c>
      <c r="E160" t="str">
        <f t="shared" si="13"/>
        <v>23</v>
      </c>
      <c r="F160">
        <v>2</v>
      </c>
      <c r="G160" t="str">
        <f t="shared" si="14"/>
        <v>02</v>
      </c>
      <c r="H160">
        <v>2007</v>
      </c>
      <c r="I160" t="str">
        <f t="shared" si="15"/>
        <v>200702</v>
      </c>
      <c r="J160" t="str">
        <f t="shared" si="17"/>
        <v>https://www.euro-millions.com/results/23-02-2007</v>
      </c>
      <c r="K160" t="str">
        <f t="shared" si="16"/>
        <v>http://lottery.merseyworld.com/Euro/archive/Lott159.html</v>
      </c>
    </row>
    <row r="161" spans="1:11" x14ac:dyDescent="0.25">
      <c r="A161">
        <v>160</v>
      </c>
      <c r="B161" s="2" t="str">
        <f t="shared" si="12"/>
        <v>02-03-2007</v>
      </c>
      <c r="C161" t="s">
        <v>10</v>
      </c>
      <c r="D161">
        <v>2</v>
      </c>
      <c r="E161" t="str">
        <f t="shared" si="13"/>
        <v>02</v>
      </c>
      <c r="F161">
        <v>3</v>
      </c>
      <c r="G161" t="str">
        <f t="shared" si="14"/>
        <v>03</v>
      </c>
      <c r="H161">
        <v>2007</v>
      </c>
      <c r="I161" t="str">
        <f t="shared" si="15"/>
        <v>200703</v>
      </c>
      <c r="J161" t="str">
        <f t="shared" si="17"/>
        <v>https://www.euro-millions.com/results/02-03-2007</v>
      </c>
      <c r="K161" t="str">
        <f t="shared" si="16"/>
        <v>http://lottery.merseyworld.com/Euro/archive/Lott160.html</v>
      </c>
    </row>
    <row r="162" spans="1:11" x14ac:dyDescent="0.25">
      <c r="A162">
        <v>161</v>
      </c>
      <c r="B162" s="2" t="str">
        <f t="shared" si="12"/>
        <v>09-03-2007</v>
      </c>
      <c r="C162" t="s">
        <v>10</v>
      </c>
      <c r="D162">
        <v>9</v>
      </c>
      <c r="E162" t="str">
        <f t="shared" si="13"/>
        <v>09</v>
      </c>
      <c r="F162">
        <v>3</v>
      </c>
      <c r="G162" t="str">
        <f t="shared" si="14"/>
        <v>03</v>
      </c>
      <c r="H162">
        <v>2007</v>
      </c>
      <c r="I162" t="str">
        <f t="shared" si="15"/>
        <v>200703</v>
      </c>
      <c r="J162" t="str">
        <f t="shared" si="17"/>
        <v>https://www.euro-millions.com/results/09-03-2007</v>
      </c>
      <c r="K162" t="str">
        <f t="shared" si="16"/>
        <v>http://lottery.merseyworld.com/Euro/archive/Lott161.html</v>
      </c>
    </row>
    <row r="163" spans="1:11" x14ac:dyDescent="0.25">
      <c r="A163">
        <v>162</v>
      </c>
      <c r="B163" s="2" t="str">
        <f t="shared" si="12"/>
        <v>16-03-2007</v>
      </c>
      <c r="C163" t="s">
        <v>10</v>
      </c>
      <c r="D163">
        <v>16</v>
      </c>
      <c r="E163" t="str">
        <f t="shared" si="13"/>
        <v>16</v>
      </c>
      <c r="F163">
        <v>3</v>
      </c>
      <c r="G163" t="str">
        <f t="shared" si="14"/>
        <v>03</v>
      </c>
      <c r="H163">
        <v>2007</v>
      </c>
      <c r="I163" t="str">
        <f t="shared" si="15"/>
        <v>200703</v>
      </c>
      <c r="J163" t="str">
        <f t="shared" si="17"/>
        <v>https://www.euro-millions.com/results/16-03-2007</v>
      </c>
      <c r="K163" t="str">
        <f t="shared" si="16"/>
        <v>http://lottery.merseyworld.com/Euro/archive/Lott162.html</v>
      </c>
    </row>
    <row r="164" spans="1:11" x14ac:dyDescent="0.25">
      <c r="A164">
        <v>163</v>
      </c>
      <c r="B164" s="2" t="str">
        <f t="shared" si="12"/>
        <v>23-03-2007</v>
      </c>
      <c r="C164" t="s">
        <v>10</v>
      </c>
      <c r="D164">
        <v>23</v>
      </c>
      <c r="E164" t="str">
        <f t="shared" si="13"/>
        <v>23</v>
      </c>
      <c r="F164">
        <v>3</v>
      </c>
      <c r="G164" t="str">
        <f t="shared" si="14"/>
        <v>03</v>
      </c>
      <c r="H164">
        <v>2007</v>
      </c>
      <c r="I164" t="str">
        <f t="shared" si="15"/>
        <v>200703</v>
      </c>
      <c r="J164" t="str">
        <f t="shared" si="17"/>
        <v>https://www.euro-millions.com/results/23-03-2007</v>
      </c>
      <c r="K164" t="str">
        <f t="shared" si="16"/>
        <v>http://lottery.merseyworld.com/Euro/archive/Lott163.html</v>
      </c>
    </row>
    <row r="165" spans="1:11" x14ac:dyDescent="0.25">
      <c r="A165">
        <v>164</v>
      </c>
      <c r="B165" s="2" t="str">
        <f t="shared" si="12"/>
        <v>30-03-2007</v>
      </c>
      <c r="C165" t="s">
        <v>10</v>
      </c>
      <c r="D165">
        <v>30</v>
      </c>
      <c r="E165" t="str">
        <f t="shared" si="13"/>
        <v>30</v>
      </c>
      <c r="F165">
        <v>3</v>
      </c>
      <c r="G165" t="str">
        <f t="shared" si="14"/>
        <v>03</v>
      </c>
      <c r="H165">
        <v>2007</v>
      </c>
      <c r="I165" t="str">
        <f t="shared" si="15"/>
        <v>200703</v>
      </c>
      <c r="J165" t="str">
        <f t="shared" si="17"/>
        <v>https://www.euro-millions.com/results/30-03-2007</v>
      </c>
      <c r="K165" t="str">
        <f t="shared" si="16"/>
        <v>http://lottery.merseyworld.com/Euro/archive/Lott164.html</v>
      </c>
    </row>
    <row r="166" spans="1:11" x14ac:dyDescent="0.25">
      <c r="A166">
        <v>165</v>
      </c>
      <c r="B166" s="2" t="str">
        <f t="shared" si="12"/>
        <v>06-04-2007</v>
      </c>
      <c r="C166" t="s">
        <v>10</v>
      </c>
      <c r="D166">
        <v>6</v>
      </c>
      <c r="E166" t="str">
        <f t="shared" si="13"/>
        <v>06</v>
      </c>
      <c r="F166">
        <v>4</v>
      </c>
      <c r="G166" t="str">
        <f t="shared" si="14"/>
        <v>04</v>
      </c>
      <c r="H166">
        <v>2007</v>
      </c>
      <c r="I166" t="str">
        <f t="shared" si="15"/>
        <v>200704</v>
      </c>
      <c r="J166" t="str">
        <f t="shared" si="17"/>
        <v>https://www.euro-millions.com/results/06-04-2007</v>
      </c>
      <c r="K166" t="str">
        <f t="shared" si="16"/>
        <v>http://lottery.merseyworld.com/Euro/archive/Lott165.html</v>
      </c>
    </row>
    <row r="167" spans="1:11" x14ac:dyDescent="0.25">
      <c r="A167">
        <v>166</v>
      </c>
      <c r="B167" s="2" t="str">
        <f t="shared" si="12"/>
        <v>13-04-2007</v>
      </c>
      <c r="C167" t="s">
        <v>10</v>
      </c>
      <c r="D167">
        <v>13</v>
      </c>
      <c r="E167" t="str">
        <f t="shared" si="13"/>
        <v>13</v>
      </c>
      <c r="F167">
        <v>4</v>
      </c>
      <c r="G167" t="str">
        <f t="shared" si="14"/>
        <v>04</v>
      </c>
      <c r="H167">
        <v>2007</v>
      </c>
      <c r="I167" t="str">
        <f t="shared" si="15"/>
        <v>200704</v>
      </c>
      <c r="J167" t="str">
        <f t="shared" si="17"/>
        <v>https://www.euro-millions.com/results/13-04-2007</v>
      </c>
      <c r="K167" t="str">
        <f t="shared" si="16"/>
        <v>http://lottery.merseyworld.com/Euro/archive/Lott166.html</v>
      </c>
    </row>
    <row r="168" spans="1:11" x14ac:dyDescent="0.25">
      <c r="A168">
        <v>167</v>
      </c>
      <c r="B168" s="2" t="str">
        <f t="shared" si="12"/>
        <v>20-04-2007</v>
      </c>
      <c r="C168" t="s">
        <v>10</v>
      </c>
      <c r="D168">
        <v>20</v>
      </c>
      <c r="E168" t="str">
        <f t="shared" si="13"/>
        <v>20</v>
      </c>
      <c r="F168">
        <v>4</v>
      </c>
      <c r="G168" t="str">
        <f t="shared" si="14"/>
        <v>04</v>
      </c>
      <c r="H168">
        <v>2007</v>
      </c>
      <c r="I168" t="str">
        <f t="shared" si="15"/>
        <v>200704</v>
      </c>
      <c r="J168" t="str">
        <f t="shared" si="17"/>
        <v>https://www.euro-millions.com/results/20-04-2007</v>
      </c>
      <c r="K168" t="str">
        <f t="shared" si="16"/>
        <v>http://lottery.merseyworld.com/Euro/archive/Lott167.html</v>
      </c>
    </row>
    <row r="169" spans="1:11" x14ac:dyDescent="0.25">
      <c r="A169">
        <v>168</v>
      </c>
      <c r="B169" s="2" t="str">
        <f t="shared" si="12"/>
        <v>27-04-2007</v>
      </c>
      <c r="C169" t="s">
        <v>10</v>
      </c>
      <c r="D169">
        <v>27</v>
      </c>
      <c r="E169" t="str">
        <f t="shared" si="13"/>
        <v>27</v>
      </c>
      <c r="F169">
        <v>4</v>
      </c>
      <c r="G169" t="str">
        <f t="shared" si="14"/>
        <v>04</v>
      </c>
      <c r="H169">
        <v>2007</v>
      </c>
      <c r="I169" t="str">
        <f t="shared" si="15"/>
        <v>200704</v>
      </c>
      <c r="J169" t="str">
        <f t="shared" si="17"/>
        <v>https://www.euro-millions.com/results/27-04-2007</v>
      </c>
      <c r="K169" t="str">
        <f t="shared" si="16"/>
        <v>http://lottery.merseyworld.com/Euro/archive/Lott168.html</v>
      </c>
    </row>
    <row r="170" spans="1:11" x14ac:dyDescent="0.25">
      <c r="A170">
        <v>169</v>
      </c>
      <c r="B170" s="2" t="str">
        <f t="shared" si="12"/>
        <v>04-05-2007</v>
      </c>
      <c r="C170" t="s">
        <v>10</v>
      </c>
      <c r="D170">
        <v>4</v>
      </c>
      <c r="E170" t="str">
        <f t="shared" si="13"/>
        <v>04</v>
      </c>
      <c r="F170">
        <v>5</v>
      </c>
      <c r="G170" t="str">
        <f t="shared" si="14"/>
        <v>05</v>
      </c>
      <c r="H170">
        <v>2007</v>
      </c>
      <c r="I170" t="str">
        <f t="shared" si="15"/>
        <v>200705</v>
      </c>
      <c r="J170" t="str">
        <f t="shared" si="17"/>
        <v>https://www.euro-millions.com/results/04-05-2007</v>
      </c>
      <c r="K170" t="str">
        <f t="shared" si="16"/>
        <v>http://lottery.merseyworld.com/Euro/archive/Lott169.html</v>
      </c>
    </row>
    <row r="171" spans="1:11" x14ac:dyDescent="0.25">
      <c r="A171">
        <v>170</v>
      </c>
      <c r="B171" s="2" t="str">
        <f t="shared" si="12"/>
        <v>11-05-2007</v>
      </c>
      <c r="C171" t="s">
        <v>10</v>
      </c>
      <c r="D171">
        <v>11</v>
      </c>
      <c r="E171" t="str">
        <f t="shared" si="13"/>
        <v>11</v>
      </c>
      <c r="F171">
        <v>5</v>
      </c>
      <c r="G171" t="str">
        <f t="shared" si="14"/>
        <v>05</v>
      </c>
      <c r="H171">
        <v>2007</v>
      </c>
      <c r="I171" t="str">
        <f t="shared" si="15"/>
        <v>200705</v>
      </c>
      <c r="J171" t="str">
        <f t="shared" si="17"/>
        <v>https://www.euro-millions.com/results/11-05-2007</v>
      </c>
      <c r="K171" t="str">
        <f t="shared" si="16"/>
        <v>http://lottery.merseyworld.com/Euro/archive/Lott170.html</v>
      </c>
    </row>
    <row r="172" spans="1:11" x14ac:dyDescent="0.25">
      <c r="A172">
        <v>171</v>
      </c>
      <c r="B172" s="2" t="str">
        <f t="shared" si="12"/>
        <v>18-05-2007</v>
      </c>
      <c r="C172" t="s">
        <v>10</v>
      </c>
      <c r="D172">
        <v>18</v>
      </c>
      <c r="E172" t="str">
        <f t="shared" si="13"/>
        <v>18</v>
      </c>
      <c r="F172">
        <v>5</v>
      </c>
      <c r="G172" t="str">
        <f t="shared" si="14"/>
        <v>05</v>
      </c>
      <c r="H172">
        <v>2007</v>
      </c>
      <c r="I172" t="str">
        <f t="shared" si="15"/>
        <v>200705</v>
      </c>
      <c r="J172" t="str">
        <f t="shared" si="17"/>
        <v>https://www.euro-millions.com/results/18-05-2007</v>
      </c>
      <c r="K172" t="str">
        <f t="shared" si="16"/>
        <v>http://lottery.merseyworld.com/Euro/archive/Lott171.html</v>
      </c>
    </row>
    <row r="173" spans="1:11" x14ac:dyDescent="0.25">
      <c r="A173">
        <v>172</v>
      </c>
      <c r="B173" s="2" t="str">
        <f t="shared" si="12"/>
        <v>25-05-2007</v>
      </c>
      <c r="C173" t="s">
        <v>10</v>
      </c>
      <c r="D173">
        <v>25</v>
      </c>
      <c r="E173" t="str">
        <f t="shared" si="13"/>
        <v>25</v>
      </c>
      <c r="F173">
        <v>5</v>
      </c>
      <c r="G173" t="str">
        <f t="shared" si="14"/>
        <v>05</v>
      </c>
      <c r="H173">
        <v>2007</v>
      </c>
      <c r="I173" t="str">
        <f t="shared" si="15"/>
        <v>200705</v>
      </c>
      <c r="J173" t="str">
        <f t="shared" si="17"/>
        <v>https://www.euro-millions.com/results/25-05-2007</v>
      </c>
      <c r="K173" t="str">
        <f t="shared" si="16"/>
        <v>http://lottery.merseyworld.com/Euro/archive/Lott172.html</v>
      </c>
    </row>
    <row r="174" spans="1:11" x14ac:dyDescent="0.25">
      <c r="A174">
        <v>173</v>
      </c>
      <c r="B174" s="2" t="str">
        <f t="shared" si="12"/>
        <v>01-06-2007</v>
      </c>
      <c r="C174" t="s">
        <v>10</v>
      </c>
      <c r="D174">
        <v>1</v>
      </c>
      <c r="E174" t="str">
        <f t="shared" si="13"/>
        <v>01</v>
      </c>
      <c r="F174">
        <v>6</v>
      </c>
      <c r="G174" t="str">
        <f t="shared" si="14"/>
        <v>06</v>
      </c>
      <c r="H174">
        <v>2007</v>
      </c>
      <c r="I174" t="str">
        <f t="shared" si="15"/>
        <v>200706</v>
      </c>
      <c r="J174" t="str">
        <f t="shared" si="17"/>
        <v>https://www.euro-millions.com/results/01-06-2007</v>
      </c>
      <c r="K174" t="str">
        <f t="shared" si="16"/>
        <v>http://lottery.merseyworld.com/Euro/archive/Lott173.html</v>
      </c>
    </row>
    <row r="175" spans="1:11" x14ac:dyDescent="0.25">
      <c r="A175">
        <v>174</v>
      </c>
      <c r="B175" s="2" t="str">
        <f t="shared" si="12"/>
        <v>08-06-2007</v>
      </c>
      <c r="C175" t="s">
        <v>10</v>
      </c>
      <c r="D175">
        <v>8</v>
      </c>
      <c r="E175" t="str">
        <f t="shared" si="13"/>
        <v>08</v>
      </c>
      <c r="F175">
        <v>6</v>
      </c>
      <c r="G175" t="str">
        <f t="shared" si="14"/>
        <v>06</v>
      </c>
      <c r="H175">
        <v>2007</v>
      </c>
      <c r="I175" t="str">
        <f t="shared" si="15"/>
        <v>200706</v>
      </c>
      <c r="J175" t="str">
        <f t="shared" si="17"/>
        <v>https://www.euro-millions.com/results/08-06-2007</v>
      </c>
      <c r="K175" t="str">
        <f t="shared" si="16"/>
        <v>http://lottery.merseyworld.com/Euro/archive/Lott174.html</v>
      </c>
    </row>
    <row r="176" spans="1:11" x14ac:dyDescent="0.25">
      <c r="A176">
        <v>175</v>
      </c>
      <c r="B176" s="2" t="str">
        <f t="shared" si="12"/>
        <v>15-06-2007</v>
      </c>
      <c r="C176" t="s">
        <v>10</v>
      </c>
      <c r="D176">
        <v>15</v>
      </c>
      <c r="E176" t="str">
        <f t="shared" si="13"/>
        <v>15</v>
      </c>
      <c r="F176">
        <v>6</v>
      </c>
      <c r="G176" t="str">
        <f t="shared" si="14"/>
        <v>06</v>
      </c>
      <c r="H176">
        <v>2007</v>
      </c>
      <c r="I176" t="str">
        <f t="shared" si="15"/>
        <v>200706</v>
      </c>
      <c r="J176" t="str">
        <f t="shared" si="17"/>
        <v>https://www.euro-millions.com/results/15-06-2007</v>
      </c>
      <c r="K176" t="str">
        <f t="shared" si="16"/>
        <v>http://lottery.merseyworld.com/Euro/archive/Lott175.html</v>
      </c>
    </row>
    <row r="177" spans="1:11" x14ac:dyDescent="0.25">
      <c r="A177">
        <v>176</v>
      </c>
      <c r="B177" s="2" t="str">
        <f t="shared" si="12"/>
        <v>22-06-2007</v>
      </c>
      <c r="C177" t="s">
        <v>10</v>
      </c>
      <c r="D177">
        <v>22</v>
      </c>
      <c r="E177" t="str">
        <f t="shared" si="13"/>
        <v>22</v>
      </c>
      <c r="F177">
        <v>6</v>
      </c>
      <c r="G177" t="str">
        <f t="shared" si="14"/>
        <v>06</v>
      </c>
      <c r="H177">
        <v>2007</v>
      </c>
      <c r="I177" t="str">
        <f t="shared" si="15"/>
        <v>200706</v>
      </c>
      <c r="J177" t="str">
        <f t="shared" si="17"/>
        <v>https://www.euro-millions.com/results/22-06-2007</v>
      </c>
      <c r="K177" t="str">
        <f t="shared" si="16"/>
        <v>http://lottery.merseyworld.com/Euro/archive/Lott176.html</v>
      </c>
    </row>
    <row r="178" spans="1:11" x14ac:dyDescent="0.25">
      <c r="A178">
        <v>177</v>
      </c>
      <c r="B178" s="2" t="str">
        <f t="shared" si="12"/>
        <v>29-06-2007</v>
      </c>
      <c r="C178" t="s">
        <v>10</v>
      </c>
      <c r="D178">
        <v>29</v>
      </c>
      <c r="E178" t="str">
        <f t="shared" si="13"/>
        <v>29</v>
      </c>
      <c r="F178">
        <v>6</v>
      </c>
      <c r="G178" t="str">
        <f t="shared" si="14"/>
        <v>06</v>
      </c>
      <c r="H178">
        <v>2007</v>
      </c>
      <c r="I178" t="str">
        <f t="shared" si="15"/>
        <v>200706</v>
      </c>
      <c r="J178" t="str">
        <f t="shared" si="17"/>
        <v>https://www.euro-millions.com/results/29-06-2007</v>
      </c>
      <c r="K178" t="str">
        <f t="shared" si="16"/>
        <v>http://lottery.merseyworld.com/Euro/archive/Lott177.html</v>
      </c>
    </row>
    <row r="179" spans="1:11" x14ac:dyDescent="0.25">
      <c r="A179">
        <v>178</v>
      </c>
      <c r="B179" s="2" t="str">
        <f t="shared" si="12"/>
        <v>06-07-2007</v>
      </c>
      <c r="C179" t="s">
        <v>10</v>
      </c>
      <c r="D179">
        <v>6</v>
      </c>
      <c r="E179" t="str">
        <f t="shared" si="13"/>
        <v>06</v>
      </c>
      <c r="F179">
        <v>7</v>
      </c>
      <c r="G179" t="str">
        <f t="shared" si="14"/>
        <v>07</v>
      </c>
      <c r="H179">
        <v>2007</v>
      </c>
      <c r="I179" t="str">
        <f t="shared" si="15"/>
        <v>200707</v>
      </c>
      <c r="J179" t="str">
        <f t="shared" si="17"/>
        <v>https://www.euro-millions.com/results/06-07-2007</v>
      </c>
      <c r="K179" t="str">
        <f t="shared" si="16"/>
        <v>http://lottery.merseyworld.com/Euro/archive/Lott178.html</v>
      </c>
    </row>
    <row r="180" spans="1:11" x14ac:dyDescent="0.25">
      <c r="A180">
        <v>179</v>
      </c>
      <c r="B180" s="2" t="str">
        <f t="shared" si="12"/>
        <v>13-07-2007</v>
      </c>
      <c r="C180" t="s">
        <v>10</v>
      </c>
      <c r="D180">
        <v>13</v>
      </c>
      <c r="E180" t="str">
        <f t="shared" si="13"/>
        <v>13</v>
      </c>
      <c r="F180">
        <v>7</v>
      </c>
      <c r="G180" t="str">
        <f t="shared" si="14"/>
        <v>07</v>
      </c>
      <c r="H180">
        <v>2007</v>
      </c>
      <c r="I180" t="str">
        <f t="shared" si="15"/>
        <v>200707</v>
      </c>
      <c r="J180" t="str">
        <f t="shared" si="17"/>
        <v>https://www.euro-millions.com/results/13-07-2007</v>
      </c>
      <c r="K180" t="str">
        <f t="shared" si="16"/>
        <v>http://lottery.merseyworld.com/Euro/archive/Lott179.html</v>
      </c>
    </row>
    <row r="181" spans="1:11" x14ac:dyDescent="0.25">
      <c r="A181">
        <v>180</v>
      </c>
      <c r="B181" s="2" t="str">
        <f t="shared" si="12"/>
        <v>20-07-2007</v>
      </c>
      <c r="C181" t="s">
        <v>10</v>
      </c>
      <c r="D181">
        <v>20</v>
      </c>
      <c r="E181" t="str">
        <f t="shared" si="13"/>
        <v>20</v>
      </c>
      <c r="F181">
        <v>7</v>
      </c>
      <c r="G181" t="str">
        <f t="shared" si="14"/>
        <v>07</v>
      </c>
      <c r="H181">
        <v>2007</v>
      </c>
      <c r="I181" t="str">
        <f t="shared" si="15"/>
        <v>200707</v>
      </c>
      <c r="J181" t="str">
        <f t="shared" si="17"/>
        <v>https://www.euro-millions.com/results/20-07-2007</v>
      </c>
      <c r="K181" t="str">
        <f t="shared" si="16"/>
        <v>http://lottery.merseyworld.com/Euro/archive/Lott180.html</v>
      </c>
    </row>
    <row r="182" spans="1:11" x14ac:dyDescent="0.25">
      <c r="A182">
        <v>181</v>
      </c>
      <c r="B182" s="2" t="str">
        <f t="shared" si="12"/>
        <v>27-07-2007</v>
      </c>
      <c r="C182" t="s">
        <v>10</v>
      </c>
      <c r="D182">
        <v>27</v>
      </c>
      <c r="E182" t="str">
        <f t="shared" si="13"/>
        <v>27</v>
      </c>
      <c r="F182">
        <v>7</v>
      </c>
      <c r="G182" t="str">
        <f t="shared" si="14"/>
        <v>07</v>
      </c>
      <c r="H182">
        <v>2007</v>
      </c>
      <c r="I182" t="str">
        <f t="shared" si="15"/>
        <v>200707</v>
      </c>
      <c r="J182" t="str">
        <f t="shared" si="17"/>
        <v>https://www.euro-millions.com/results/27-07-2007</v>
      </c>
      <c r="K182" t="str">
        <f t="shared" si="16"/>
        <v>http://lottery.merseyworld.com/Euro/archive/Lott181.html</v>
      </c>
    </row>
    <row r="183" spans="1:11" x14ac:dyDescent="0.25">
      <c r="A183">
        <v>182</v>
      </c>
      <c r="B183" s="2" t="str">
        <f t="shared" si="12"/>
        <v>03-08-2007</v>
      </c>
      <c r="C183" t="s">
        <v>10</v>
      </c>
      <c r="D183">
        <v>3</v>
      </c>
      <c r="E183" t="str">
        <f t="shared" si="13"/>
        <v>03</v>
      </c>
      <c r="F183">
        <v>8</v>
      </c>
      <c r="G183" t="str">
        <f t="shared" si="14"/>
        <v>08</v>
      </c>
      <c r="H183">
        <v>2007</v>
      </c>
      <c r="I183" t="str">
        <f t="shared" si="15"/>
        <v>200708</v>
      </c>
      <c r="J183" t="str">
        <f t="shared" si="17"/>
        <v>https://www.euro-millions.com/results/03-08-2007</v>
      </c>
      <c r="K183" t="str">
        <f t="shared" si="16"/>
        <v>http://lottery.merseyworld.com/Euro/archive/Lott182.html</v>
      </c>
    </row>
    <row r="184" spans="1:11" x14ac:dyDescent="0.25">
      <c r="A184">
        <v>183</v>
      </c>
      <c r="B184" s="2" t="str">
        <f t="shared" si="12"/>
        <v>10-08-2007</v>
      </c>
      <c r="C184" t="s">
        <v>10</v>
      </c>
      <c r="D184">
        <v>10</v>
      </c>
      <c r="E184" t="str">
        <f t="shared" si="13"/>
        <v>10</v>
      </c>
      <c r="F184">
        <v>8</v>
      </c>
      <c r="G184" t="str">
        <f t="shared" si="14"/>
        <v>08</v>
      </c>
      <c r="H184">
        <v>2007</v>
      </c>
      <c r="I184" t="str">
        <f t="shared" si="15"/>
        <v>200708</v>
      </c>
      <c r="J184" t="str">
        <f t="shared" si="17"/>
        <v>https://www.euro-millions.com/results/10-08-2007</v>
      </c>
      <c r="K184" t="str">
        <f t="shared" si="16"/>
        <v>http://lottery.merseyworld.com/Euro/archive/Lott183.html</v>
      </c>
    </row>
    <row r="185" spans="1:11" x14ac:dyDescent="0.25">
      <c r="A185">
        <v>184</v>
      </c>
      <c r="B185" s="2" t="str">
        <f t="shared" si="12"/>
        <v>17-08-2007</v>
      </c>
      <c r="C185" t="s">
        <v>10</v>
      </c>
      <c r="D185">
        <v>17</v>
      </c>
      <c r="E185" t="str">
        <f t="shared" si="13"/>
        <v>17</v>
      </c>
      <c r="F185">
        <v>8</v>
      </c>
      <c r="G185" t="str">
        <f t="shared" si="14"/>
        <v>08</v>
      </c>
      <c r="H185">
        <v>2007</v>
      </c>
      <c r="I185" t="str">
        <f t="shared" si="15"/>
        <v>200708</v>
      </c>
      <c r="J185" t="str">
        <f t="shared" si="17"/>
        <v>https://www.euro-millions.com/results/17-08-2007</v>
      </c>
      <c r="K185" t="str">
        <f t="shared" si="16"/>
        <v>http://lottery.merseyworld.com/Euro/archive/Lott184.html</v>
      </c>
    </row>
    <row r="186" spans="1:11" x14ac:dyDescent="0.25">
      <c r="A186">
        <v>185</v>
      </c>
      <c r="B186" s="2" t="str">
        <f t="shared" si="12"/>
        <v>24-08-2007</v>
      </c>
      <c r="C186" t="s">
        <v>10</v>
      </c>
      <c r="D186">
        <v>24</v>
      </c>
      <c r="E186" t="str">
        <f t="shared" si="13"/>
        <v>24</v>
      </c>
      <c r="F186">
        <v>8</v>
      </c>
      <c r="G186" t="str">
        <f t="shared" si="14"/>
        <v>08</v>
      </c>
      <c r="H186">
        <v>2007</v>
      </c>
      <c r="I186" t="str">
        <f t="shared" si="15"/>
        <v>200708</v>
      </c>
      <c r="J186" t="str">
        <f t="shared" si="17"/>
        <v>https://www.euro-millions.com/results/24-08-2007</v>
      </c>
      <c r="K186" t="str">
        <f t="shared" si="16"/>
        <v>http://lottery.merseyworld.com/Euro/archive/Lott185.html</v>
      </c>
    </row>
    <row r="187" spans="1:11" x14ac:dyDescent="0.25">
      <c r="A187">
        <v>186</v>
      </c>
      <c r="B187" s="2" t="str">
        <f t="shared" si="12"/>
        <v>31-08-2007</v>
      </c>
      <c r="C187" t="s">
        <v>10</v>
      </c>
      <c r="D187">
        <v>31</v>
      </c>
      <c r="E187" t="str">
        <f t="shared" si="13"/>
        <v>31</v>
      </c>
      <c r="F187">
        <v>8</v>
      </c>
      <c r="G187" t="str">
        <f t="shared" si="14"/>
        <v>08</v>
      </c>
      <c r="H187">
        <v>2007</v>
      </c>
      <c r="I187" t="str">
        <f t="shared" si="15"/>
        <v>200708</v>
      </c>
      <c r="J187" t="str">
        <f t="shared" si="17"/>
        <v>https://www.euro-millions.com/results/31-08-2007</v>
      </c>
      <c r="K187" t="str">
        <f t="shared" si="16"/>
        <v>http://lottery.merseyworld.com/Euro/archive/Lott186.html</v>
      </c>
    </row>
    <row r="188" spans="1:11" x14ac:dyDescent="0.25">
      <c r="A188">
        <v>187</v>
      </c>
      <c r="B188" s="2" t="str">
        <f t="shared" si="12"/>
        <v>07-09-2007</v>
      </c>
      <c r="C188" t="s">
        <v>10</v>
      </c>
      <c r="D188">
        <v>7</v>
      </c>
      <c r="E188" t="str">
        <f t="shared" si="13"/>
        <v>07</v>
      </c>
      <c r="F188">
        <v>9</v>
      </c>
      <c r="G188" t="str">
        <f t="shared" si="14"/>
        <v>09</v>
      </c>
      <c r="H188">
        <v>2007</v>
      </c>
      <c r="I188" t="str">
        <f t="shared" si="15"/>
        <v>200709</v>
      </c>
      <c r="J188" t="str">
        <f t="shared" si="17"/>
        <v>https://www.euro-millions.com/results/07-09-2007</v>
      </c>
      <c r="K188" t="str">
        <f t="shared" si="16"/>
        <v>http://lottery.merseyworld.com/Euro/archive/Lott187.html</v>
      </c>
    </row>
    <row r="189" spans="1:11" x14ac:dyDescent="0.25">
      <c r="A189">
        <v>188</v>
      </c>
      <c r="B189" s="2" t="str">
        <f t="shared" si="12"/>
        <v>14-09-2007</v>
      </c>
      <c r="C189" t="s">
        <v>10</v>
      </c>
      <c r="D189">
        <v>14</v>
      </c>
      <c r="E189" t="str">
        <f t="shared" si="13"/>
        <v>14</v>
      </c>
      <c r="F189">
        <v>9</v>
      </c>
      <c r="G189" t="str">
        <f t="shared" si="14"/>
        <v>09</v>
      </c>
      <c r="H189">
        <v>2007</v>
      </c>
      <c r="I189" t="str">
        <f t="shared" si="15"/>
        <v>200709</v>
      </c>
      <c r="J189" t="str">
        <f t="shared" si="17"/>
        <v>https://www.euro-millions.com/results/14-09-2007</v>
      </c>
      <c r="K189" t="str">
        <f t="shared" si="16"/>
        <v>http://lottery.merseyworld.com/Euro/archive/Lott188.html</v>
      </c>
    </row>
    <row r="190" spans="1:11" x14ac:dyDescent="0.25">
      <c r="A190">
        <v>189</v>
      </c>
      <c r="B190" s="2" t="str">
        <f t="shared" si="12"/>
        <v>21-09-2007</v>
      </c>
      <c r="C190" t="s">
        <v>10</v>
      </c>
      <c r="D190">
        <v>21</v>
      </c>
      <c r="E190" t="str">
        <f t="shared" si="13"/>
        <v>21</v>
      </c>
      <c r="F190">
        <v>9</v>
      </c>
      <c r="G190" t="str">
        <f t="shared" si="14"/>
        <v>09</v>
      </c>
      <c r="H190">
        <v>2007</v>
      </c>
      <c r="I190" t="str">
        <f t="shared" si="15"/>
        <v>200709</v>
      </c>
      <c r="J190" t="str">
        <f t="shared" si="17"/>
        <v>https://www.euro-millions.com/results/21-09-2007</v>
      </c>
      <c r="K190" t="str">
        <f t="shared" si="16"/>
        <v>http://lottery.merseyworld.com/Euro/archive/Lott189.html</v>
      </c>
    </row>
    <row r="191" spans="1:11" x14ac:dyDescent="0.25">
      <c r="A191">
        <v>190</v>
      </c>
      <c r="B191" s="2" t="str">
        <f t="shared" si="12"/>
        <v>28-09-2007</v>
      </c>
      <c r="C191" t="s">
        <v>10</v>
      </c>
      <c r="D191">
        <v>28</v>
      </c>
      <c r="E191" t="str">
        <f t="shared" si="13"/>
        <v>28</v>
      </c>
      <c r="F191">
        <v>9</v>
      </c>
      <c r="G191" t="str">
        <f t="shared" si="14"/>
        <v>09</v>
      </c>
      <c r="H191">
        <v>2007</v>
      </c>
      <c r="I191" t="str">
        <f t="shared" si="15"/>
        <v>200709</v>
      </c>
      <c r="J191" t="str">
        <f t="shared" si="17"/>
        <v>https://www.euro-millions.com/results/28-09-2007</v>
      </c>
      <c r="K191" t="str">
        <f t="shared" si="16"/>
        <v>http://lottery.merseyworld.com/Euro/archive/Lott190.html</v>
      </c>
    </row>
    <row r="192" spans="1:11" x14ac:dyDescent="0.25">
      <c r="A192">
        <v>191</v>
      </c>
      <c r="B192" s="2" t="str">
        <f t="shared" si="12"/>
        <v>05-10-2007</v>
      </c>
      <c r="C192" t="s">
        <v>10</v>
      </c>
      <c r="D192">
        <v>5</v>
      </c>
      <c r="E192" t="str">
        <f t="shared" si="13"/>
        <v>05</v>
      </c>
      <c r="F192">
        <v>10</v>
      </c>
      <c r="G192" t="str">
        <f t="shared" si="14"/>
        <v>10</v>
      </c>
      <c r="H192">
        <v>2007</v>
      </c>
      <c r="I192" t="str">
        <f t="shared" si="15"/>
        <v>200710</v>
      </c>
      <c r="J192" t="str">
        <f t="shared" si="17"/>
        <v>https://www.euro-millions.com/results/05-10-2007</v>
      </c>
      <c r="K192" t="str">
        <f t="shared" si="16"/>
        <v>http://lottery.merseyworld.com/Euro/archive/Lott191.html</v>
      </c>
    </row>
    <row r="193" spans="1:11" x14ac:dyDescent="0.25">
      <c r="A193">
        <v>192</v>
      </c>
      <c r="B193" s="2" t="str">
        <f t="shared" si="12"/>
        <v>12-10-2007</v>
      </c>
      <c r="C193" t="s">
        <v>10</v>
      </c>
      <c r="D193">
        <v>12</v>
      </c>
      <c r="E193" t="str">
        <f t="shared" si="13"/>
        <v>12</v>
      </c>
      <c r="F193">
        <v>10</v>
      </c>
      <c r="G193" t="str">
        <f t="shared" si="14"/>
        <v>10</v>
      </c>
      <c r="H193">
        <v>2007</v>
      </c>
      <c r="I193" t="str">
        <f t="shared" si="15"/>
        <v>200710</v>
      </c>
      <c r="J193" t="str">
        <f t="shared" si="17"/>
        <v>https://www.euro-millions.com/results/12-10-2007</v>
      </c>
      <c r="K193" t="str">
        <f t="shared" si="16"/>
        <v>http://lottery.merseyworld.com/Euro/archive/Lott192.html</v>
      </c>
    </row>
    <row r="194" spans="1:11" x14ac:dyDescent="0.25">
      <c r="A194">
        <v>193</v>
      </c>
      <c r="B194" s="2" t="str">
        <f t="shared" si="12"/>
        <v>19-10-2007</v>
      </c>
      <c r="C194" t="s">
        <v>10</v>
      </c>
      <c r="D194">
        <v>19</v>
      </c>
      <c r="E194" t="str">
        <f t="shared" si="13"/>
        <v>19</v>
      </c>
      <c r="F194">
        <v>10</v>
      </c>
      <c r="G194" t="str">
        <f t="shared" si="14"/>
        <v>10</v>
      </c>
      <c r="H194">
        <v>2007</v>
      </c>
      <c r="I194" t="str">
        <f t="shared" si="15"/>
        <v>200710</v>
      </c>
      <c r="J194" t="str">
        <f t="shared" si="17"/>
        <v>https://www.euro-millions.com/results/19-10-2007</v>
      </c>
      <c r="K194" t="str">
        <f t="shared" si="16"/>
        <v>http://lottery.merseyworld.com/Euro/archive/Lott193.html</v>
      </c>
    </row>
    <row r="195" spans="1:11" x14ac:dyDescent="0.25">
      <c r="A195">
        <v>194</v>
      </c>
      <c r="B195" s="2" t="str">
        <f t="shared" ref="B195:B258" si="18">CONCATENATE(E195,"-",G195,"-",H195)</f>
        <v>26-10-2007</v>
      </c>
      <c r="C195" t="s">
        <v>10</v>
      </c>
      <c r="D195">
        <v>26</v>
      </c>
      <c r="E195" t="str">
        <f t="shared" ref="E195:E258" si="19">CONCATENATE(IF(LEN(D195)=1,CONCATENATE("0",D195),D195))</f>
        <v>26</v>
      </c>
      <c r="F195">
        <v>10</v>
      </c>
      <c r="G195" t="str">
        <f t="shared" ref="G195:G258" si="20">CONCATENATE(IF(LEN(F195)=1,CONCATENATE("0",F195),F195))</f>
        <v>10</v>
      </c>
      <c r="H195">
        <v>2007</v>
      </c>
      <c r="I195" t="str">
        <f t="shared" ref="I195:I258" si="21">CONCATENATE(H195,IF(LEN(F195)=1,CONCATENATE("0",F195),F195))</f>
        <v>200710</v>
      </c>
      <c r="J195" t="str">
        <f t="shared" si="17"/>
        <v>https://www.euro-millions.com/results/26-10-2007</v>
      </c>
      <c r="K195" t="str">
        <f t="shared" ref="K195:K258" si="22">CONCATENATE("http://lottery.merseyworld.com/Euro/archive/Lott",RIGHT(CONCATENATE("00",A195),3),".html")</f>
        <v>http://lottery.merseyworld.com/Euro/archive/Lott194.html</v>
      </c>
    </row>
    <row r="196" spans="1:11" x14ac:dyDescent="0.25">
      <c r="A196">
        <v>195</v>
      </c>
      <c r="B196" s="2" t="str">
        <f t="shared" si="18"/>
        <v>02-11-2007</v>
      </c>
      <c r="C196" t="s">
        <v>10</v>
      </c>
      <c r="D196">
        <v>2</v>
      </c>
      <c r="E196" t="str">
        <f t="shared" si="19"/>
        <v>02</v>
      </c>
      <c r="F196">
        <v>11</v>
      </c>
      <c r="G196" t="str">
        <f t="shared" si="20"/>
        <v>11</v>
      </c>
      <c r="H196">
        <v>2007</v>
      </c>
      <c r="I196" t="str">
        <f t="shared" si="21"/>
        <v>200711</v>
      </c>
      <c r="J196" t="str">
        <f t="shared" si="17"/>
        <v>https://www.euro-millions.com/results/02-11-2007</v>
      </c>
      <c r="K196" t="str">
        <f t="shared" si="22"/>
        <v>http://lottery.merseyworld.com/Euro/archive/Lott195.html</v>
      </c>
    </row>
    <row r="197" spans="1:11" x14ac:dyDescent="0.25">
      <c r="A197">
        <v>196</v>
      </c>
      <c r="B197" s="2" t="str">
        <f t="shared" si="18"/>
        <v>09-11-2007</v>
      </c>
      <c r="C197" t="s">
        <v>10</v>
      </c>
      <c r="D197">
        <v>9</v>
      </c>
      <c r="E197" t="str">
        <f t="shared" si="19"/>
        <v>09</v>
      </c>
      <c r="F197">
        <v>11</v>
      </c>
      <c r="G197" t="str">
        <f t="shared" si="20"/>
        <v>11</v>
      </c>
      <c r="H197">
        <v>2007</v>
      </c>
      <c r="I197" t="str">
        <f t="shared" si="21"/>
        <v>200711</v>
      </c>
      <c r="J197" t="str">
        <f t="shared" si="17"/>
        <v>https://www.euro-millions.com/results/09-11-2007</v>
      </c>
      <c r="K197" t="str">
        <f t="shared" si="22"/>
        <v>http://lottery.merseyworld.com/Euro/archive/Lott196.html</v>
      </c>
    </row>
    <row r="198" spans="1:11" x14ac:dyDescent="0.25">
      <c r="A198">
        <v>197</v>
      </c>
      <c r="B198" s="2" t="str">
        <f t="shared" si="18"/>
        <v>16-11-2007</v>
      </c>
      <c r="C198" t="s">
        <v>10</v>
      </c>
      <c r="D198">
        <v>16</v>
      </c>
      <c r="E198" t="str">
        <f t="shared" si="19"/>
        <v>16</v>
      </c>
      <c r="F198">
        <v>11</v>
      </c>
      <c r="G198" t="str">
        <f t="shared" si="20"/>
        <v>11</v>
      </c>
      <c r="H198">
        <v>2007</v>
      </c>
      <c r="I198" t="str">
        <f t="shared" si="21"/>
        <v>200711</v>
      </c>
      <c r="J198" t="str">
        <f t="shared" si="17"/>
        <v>https://www.euro-millions.com/results/16-11-2007</v>
      </c>
      <c r="K198" t="str">
        <f t="shared" si="22"/>
        <v>http://lottery.merseyworld.com/Euro/archive/Lott197.html</v>
      </c>
    </row>
    <row r="199" spans="1:11" x14ac:dyDescent="0.25">
      <c r="A199">
        <v>198</v>
      </c>
      <c r="B199" s="2" t="str">
        <f t="shared" si="18"/>
        <v>23-11-2007</v>
      </c>
      <c r="C199" t="s">
        <v>10</v>
      </c>
      <c r="D199">
        <v>23</v>
      </c>
      <c r="E199" t="str">
        <f t="shared" si="19"/>
        <v>23</v>
      </c>
      <c r="F199">
        <v>11</v>
      </c>
      <c r="G199" t="str">
        <f t="shared" si="20"/>
        <v>11</v>
      </c>
      <c r="H199">
        <v>2007</v>
      </c>
      <c r="I199" t="str">
        <f t="shared" si="21"/>
        <v>200711</v>
      </c>
      <c r="J199" t="str">
        <f t="shared" si="17"/>
        <v>https://www.euro-millions.com/results/23-11-2007</v>
      </c>
      <c r="K199" t="str">
        <f t="shared" si="22"/>
        <v>http://lottery.merseyworld.com/Euro/archive/Lott198.html</v>
      </c>
    </row>
    <row r="200" spans="1:11" x14ac:dyDescent="0.25">
      <c r="A200">
        <v>199</v>
      </c>
      <c r="B200" s="2" t="str">
        <f t="shared" si="18"/>
        <v>30-11-2007</v>
      </c>
      <c r="C200" t="s">
        <v>10</v>
      </c>
      <c r="D200">
        <v>30</v>
      </c>
      <c r="E200" t="str">
        <f t="shared" si="19"/>
        <v>30</v>
      </c>
      <c r="F200">
        <v>11</v>
      </c>
      <c r="G200" t="str">
        <f t="shared" si="20"/>
        <v>11</v>
      </c>
      <c r="H200">
        <v>2007</v>
      </c>
      <c r="I200" t="str">
        <f t="shared" si="21"/>
        <v>200711</v>
      </c>
      <c r="J200" t="str">
        <f t="shared" ref="J200:J263" si="23">CONCATENATE("https://www.euro-millions.com/results/",E200,"-",G200,"-",H200)</f>
        <v>https://www.euro-millions.com/results/30-11-2007</v>
      </c>
      <c r="K200" t="str">
        <f t="shared" si="22"/>
        <v>http://lottery.merseyworld.com/Euro/archive/Lott199.html</v>
      </c>
    </row>
    <row r="201" spans="1:11" x14ac:dyDescent="0.25">
      <c r="A201">
        <v>200</v>
      </c>
      <c r="B201" s="2" t="str">
        <f t="shared" si="18"/>
        <v>07-12-2007</v>
      </c>
      <c r="C201" t="s">
        <v>10</v>
      </c>
      <c r="D201">
        <v>7</v>
      </c>
      <c r="E201" t="str">
        <f t="shared" si="19"/>
        <v>07</v>
      </c>
      <c r="F201">
        <v>12</v>
      </c>
      <c r="G201" t="str">
        <f t="shared" si="20"/>
        <v>12</v>
      </c>
      <c r="H201">
        <v>2007</v>
      </c>
      <c r="I201" t="str">
        <f t="shared" si="21"/>
        <v>200712</v>
      </c>
      <c r="J201" t="str">
        <f t="shared" si="23"/>
        <v>https://www.euro-millions.com/results/07-12-2007</v>
      </c>
      <c r="K201" t="str">
        <f t="shared" si="22"/>
        <v>http://lottery.merseyworld.com/Euro/archive/Lott200.html</v>
      </c>
    </row>
    <row r="202" spans="1:11" x14ac:dyDescent="0.25">
      <c r="A202">
        <v>201</v>
      </c>
      <c r="B202" s="2" t="str">
        <f t="shared" si="18"/>
        <v>14-12-2007</v>
      </c>
      <c r="C202" t="s">
        <v>10</v>
      </c>
      <c r="D202">
        <v>14</v>
      </c>
      <c r="E202" t="str">
        <f t="shared" si="19"/>
        <v>14</v>
      </c>
      <c r="F202">
        <v>12</v>
      </c>
      <c r="G202" t="str">
        <f t="shared" si="20"/>
        <v>12</v>
      </c>
      <c r="H202">
        <v>2007</v>
      </c>
      <c r="I202" t="str">
        <f t="shared" si="21"/>
        <v>200712</v>
      </c>
      <c r="J202" t="str">
        <f t="shared" si="23"/>
        <v>https://www.euro-millions.com/results/14-12-2007</v>
      </c>
      <c r="K202" t="str">
        <f t="shared" si="22"/>
        <v>http://lottery.merseyworld.com/Euro/archive/Lott201.html</v>
      </c>
    </row>
    <row r="203" spans="1:11" x14ac:dyDescent="0.25">
      <c r="A203">
        <v>202</v>
      </c>
      <c r="B203" s="2" t="str">
        <f t="shared" si="18"/>
        <v>21-12-2007</v>
      </c>
      <c r="C203" t="s">
        <v>10</v>
      </c>
      <c r="D203">
        <v>21</v>
      </c>
      <c r="E203" t="str">
        <f t="shared" si="19"/>
        <v>21</v>
      </c>
      <c r="F203">
        <v>12</v>
      </c>
      <c r="G203" t="str">
        <f t="shared" si="20"/>
        <v>12</v>
      </c>
      <c r="H203">
        <v>2007</v>
      </c>
      <c r="I203" t="str">
        <f t="shared" si="21"/>
        <v>200712</v>
      </c>
      <c r="J203" t="str">
        <f t="shared" si="23"/>
        <v>https://www.euro-millions.com/results/21-12-2007</v>
      </c>
      <c r="K203" t="str">
        <f t="shared" si="22"/>
        <v>http://lottery.merseyworld.com/Euro/archive/Lott202.html</v>
      </c>
    </row>
    <row r="204" spans="1:11" x14ac:dyDescent="0.25">
      <c r="A204">
        <v>203</v>
      </c>
      <c r="B204" s="2" t="str">
        <f t="shared" si="18"/>
        <v>28-12-2007</v>
      </c>
      <c r="C204" t="s">
        <v>10</v>
      </c>
      <c r="D204">
        <v>28</v>
      </c>
      <c r="E204" t="str">
        <f t="shared" si="19"/>
        <v>28</v>
      </c>
      <c r="F204">
        <v>12</v>
      </c>
      <c r="G204" t="str">
        <f t="shared" si="20"/>
        <v>12</v>
      </c>
      <c r="H204">
        <v>2007</v>
      </c>
      <c r="I204" t="str">
        <f t="shared" si="21"/>
        <v>200712</v>
      </c>
      <c r="J204" t="str">
        <f t="shared" si="23"/>
        <v>https://www.euro-millions.com/results/28-12-2007</v>
      </c>
      <c r="K204" t="str">
        <f t="shared" si="22"/>
        <v>http://lottery.merseyworld.com/Euro/archive/Lott203.html</v>
      </c>
    </row>
    <row r="205" spans="1:11" x14ac:dyDescent="0.25">
      <c r="A205">
        <v>204</v>
      </c>
      <c r="B205" s="2" t="str">
        <f t="shared" si="18"/>
        <v>04-01-2008</v>
      </c>
      <c r="C205" t="s">
        <v>10</v>
      </c>
      <c r="D205">
        <v>4</v>
      </c>
      <c r="E205" t="str">
        <f t="shared" si="19"/>
        <v>04</v>
      </c>
      <c r="F205">
        <v>1</v>
      </c>
      <c r="G205" t="str">
        <f t="shared" si="20"/>
        <v>01</v>
      </c>
      <c r="H205">
        <v>2008</v>
      </c>
      <c r="I205" t="str">
        <f t="shared" si="21"/>
        <v>200801</v>
      </c>
      <c r="J205" t="str">
        <f t="shared" si="23"/>
        <v>https://www.euro-millions.com/results/04-01-2008</v>
      </c>
      <c r="K205" t="str">
        <f t="shared" si="22"/>
        <v>http://lottery.merseyworld.com/Euro/archive/Lott204.html</v>
      </c>
    </row>
    <row r="206" spans="1:11" x14ac:dyDescent="0.25">
      <c r="A206">
        <v>205</v>
      </c>
      <c r="B206" s="2" t="str">
        <f t="shared" si="18"/>
        <v>11-01-2008</v>
      </c>
      <c r="C206" t="s">
        <v>10</v>
      </c>
      <c r="D206">
        <v>11</v>
      </c>
      <c r="E206" t="str">
        <f t="shared" si="19"/>
        <v>11</v>
      </c>
      <c r="F206">
        <v>1</v>
      </c>
      <c r="G206" t="str">
        <f t="shared" si="20"/>
        <v>01</v>
      </c>
      <c r="H206">
        <v>2008</v>
      </c>
      <c r="I206" t="str">
        <f t="shared" si="21"/>
        <v>200801</v>
      </c>
      <c r="J206" t="str">
        <f t="shared" si="23"/>
        <v>https://www.euro-millions.com/results/11-01-2008</v>
      </c>
      <c r="K206" t="str">
        <f t="shared" si="22"/>
        <v>http://lottery.merseyworld.com/Euro/archive/Lott205.html</v>
      </c>
    </row>
    <row r="207" spans="1:11" x14ac:dyDescent="0.25">
      <c r="A207">
        <v>206</v>
      </c>
      <c r="B207" s="2" t="str">
        <f t="shared" si="18"/>
        <v>18-01-2008</v>
      </c>
      <c r="C207" t="s">
        <v>10</v>
      </c>
      <c r="D207">
        <v>18</v>
      </c>
      <c r="E207" t="str">
        <f t="shared" si="19"/>
        <v>18</v>
      </c>
      <c r="F207">
        <v>1</v>
      </c>
      <c r="G207" t="str">
        <f t="shared" si="20"/>
        <v>01</v>
      </c>
      <c r="H207">
        <v>2008</v>
      </c>
      <c r="I207" t="str">
        <f t="shared" si="21"/>
        <v>200801</v>
      </c>
      <c r="J207" t="str">
        <f t="shared" si="23"/>
        <v>https://www.euro-millions.com/results/18-01-2008</v>
      </c>
      <c r="K207" t="str">
        <f t="shared" si="22"/>
        <v>http://lottery.merseyworld.com/Euro/archive/Lott206.html</v>
      </c>
    </row>
    <row r="208" spans="1:11" x14ac:dyDescent="0.25">
      <c r="A208">
        <v>207</v>
      </c>
      <c r="B208" s="2" t="str">
        <f t="shared" si="18"/>
        <v>25-01-2008</v>
      </c>
      <c r="C208" t="s">
        <v>10</v>
      </c>
      <c r="D208">
        <v>25</v>
      </c>
      <c r="E208" t="str">
        <f t="shared" si="19"/>
        <v>25</v>
      </c>
      <c r="F208">
        <v>1</v>
      </c>
      <c r="G208" t="str">
        <f t="shared" si="20"/>
        <v>01</v>
      </c>
      <c r="H208">
        <v>2008</v>
      </c>
      <c r="I208" t="str">
        <f t="shared" si="21"/>
        <v>200801</v>
      </c>
      <c r="J208" t="str">
        <f t="shared" si="23"/>
        <v>https://www.euro-millions.com/results/25-01-2008</v>
      </c>
      <c r="K208" t="str">
        <f t="shared" si="22"/>
        <v>http://lottery.merseyworld.com/Euro/archive/Lott207.html</v>
      </c>
    </row>
    <row r="209" spans="1:11" x14ac:dyDescent="0.25">
      <c r="A209">
        <v>208</v>
      </c>
      <c r="B209" s="2" t="str">
        <f t="shared" si="18"/>
        <v>01-02-2008</v>
      </c>
      <c r="C209" t="s">
        <v>10</v>
      </c>
      <c r="D209">
        <v>1</v>
      </c>
      <c r="E209" t="str">
        <f t="shared" si="19"/>
        <v>01</v>
      </c>
      <c r="F209">
        <v>2</v>
      </c>
      <c r="G209" t="str">
        <f t="shared" si="20"/>
        <v>02</v>
      </c>
      <c r="H209">
        <v>2008</v>
      </c>
      <c r="I209" t="str">
        <f t="shared" si="21"/>
        <v>200802</v>
      </c>
      <c r="J209" t="str">
        <f t="shared" si="23"/>
        <v>https://www.euro-millions.com/results/01-02-2008</v>
      </c>
      <c r="K209" t="str">
        <f t="shared" si="22"/>
        <v>http://lottery.merseyworld.com/Euro/archive/Lott208.html</v>
      </c>
    </row>
    <row r="210" spans="1:11" x14ac:dyDescent="0.25">
      <c r="A210">
        <v>209</v>
      </c>
      <c r="B210" s="2" t="str">
        <f t="shared" si="18"/>
        <v>08-02-2008</v>
      </c>
      <c r="C210" t="s">
        <v>10</v>
      </c>
      <c r="D210">
        <v>8</v>
      </c>
      <c r="E210" t="str">
        <f t="shared" si="19"/>
        <v>08</v>
      </c>
      <c r="F210">
        <v>2</v>
      </c>
      <c r="G210" t="str">
        <f t="shared" si="20"/>
        <v>02</v>
      </c>
      <c r="H210">
        <v>2008</v>
      </c>
      <c r="I210" t="str">
        <f t="shared" si="21"/>
        <v>200802</v>
      </c>
      <c r="J210" t="str">
        <f t="shared" si="23"/>
        <v>https://www.euro-millions.com/results/08-02-2008</v>
      </c>
      <c r="K210" t="str">
        <f t="shared" si="22"/>
        <v>http://lottery.merseyworld.com/Euro/archive/Lott209.html</v>
      </c>
    </row>
    <row r="211" spans="1:11" x14ac:dyDescent="0.25">
      <c r="A211">
        <v>210</v>
      </c>
      <c r="B211" s="2" t="str">
        <f t="shared" si="18"/>
        <v>15-02-2008</v>
      </c>
      <c r="C211" t="s">
        <v>10</v>
      </c>
      <c r="D211">
        <v>15</v>
      </c>
      <c r="E211" t="str">
        <f t="shared" si="19"/>
        <v>15</v>
      </c>
      <c r="F211">
        <v>2</v>
      </c>
      <c r="G211" t="str">
        <f t="shared" si="20"/>
        <v>02</v>
      </c>
      <c r="H211">
        <v>2008</v>
      </c>
      <c r="I211" t="str">
        <f t="shared" si="21"/>
        <v>200802</v>
      </c>
      <c r="J211" t="str">
        <f t="shared" si="23"/>
        <v>https://www.euro-millions.com/results/15-02-2008</v>
      </c>
      <c r="K211" t="str">
        <f t="shared" si="22"/>
        <v>http://lottery.merseyworld.com/Euro/archive/Lott210.html</v>
      </c>
    </row>
    <row r="212" spans="1:11" x14ac:dyDescent="0.25">
      <c r="A212">
        <v>211</v>
      </c>
      <c r="B212" s="2" t="str">
        <f t="shared" si="18"/>
        <v>22-02-2008</v>
      </c>
      <c r="C212" t="s">
        <v>10</v>
      </c>
      <c r="D212">
        <v>22</v>
      </c>
      <c r="E212" t="str">
        <f t="shared" si="19"/>
        <v>22</v>
      </c>
      <c r="F212">
        <v>2</v>
      </c>
      <c r="G212" t="str">
        <f t="shared" si="20"/>
        <v>02</v>
      </c>
      <c r="H212">
        <v>2008</v>
      </c>
      <c r="I212" t="str">
        <f t="shared" si="21"/>
        <v>200802</v>
      </c>
      <c r="J212" t="str">
        <f t="shared" si="23"/>
        <v>https://www.euro-millions.com/results/22-02-2008</v>
      </c>
      <c r="K212" t="str">
        <f t="shared" si="22"/>
        <v>http://lottery.merseyworld.com/Euro/archive/Lott211.html</v>
      </c>
    </row>
    <row r="213" spans="1:11" x14ac:dyDescent="0.25">
      <c r="A213">
        <v>212</v>
      </c>
      <c r="B213" s="2" t="str">
        <f t="shared" si="18"/>
        <v>29-02-2008</v>
      </c>
      <c r="C213" t="s">
        <v>10</v>
      </c>
      <c r="D213">
        <v>29</v>
      </c>
      <c r="E213" t="str">
        <f t="shared" si="19"/>
        <v>29</v>
      </c>
      <c r="F213">
        <v>2</v>
      </c>
      <c r="G213" t="str">
        <f t="shared" si="20"/>
        <v>02</v>
      </c>
      <c r="H213">
        <v>2008</v>
      </c>
      <c r="I213" t="str">
        <f t="shared" si="21"/>
        <v>200802</v>
      </c>
      <c r="J213" t="str">
        <f t="shared" si="23"/>
        <v>https://www.euro-millions.com/results/29-02-2008</v>
      </c>
      <c r="K213" t="str">
        <f t="shared" si="22"/>
        <v>http://lottery.merseyworld.com/Euro/archive/Lott212.html</v>
      </c>
    </row>
    <row r="214" spans="1:11" x14ac:dyDescent="0.25">
      <c r="A214">
        <v>213</v>
      </c>
      <c r="B214" s="2" t="str">
        <f t="shared" si="18"/>
        <v>07-03-2008</v>
      </c>
      <c r="C214" t="s">
        <v>10</v>
      </c>
      <c r="D214">
        <v>7</v>
      </c>
      <c r="E214" t="str">
        <f t="shared" si="19"/>
        <v>07</v>
      </c>
      <c r="F214">
        <v>3</v>
      </c>
      <c r="G214" t="str">
        <f t="shared" si="20"/>
        <v>03</v>
      </c>
      <c r="H214">
        <v>2008</v>
      </c>
      <c r="I214" t="str">
        <f t="shared" si="21"/>
        <v>200803</v>
      </c>
      <c r="J214" t="str">
        <f t="shared" si="23"/>
        <v>https://www.euro-millions.com/results/07-03-2008</v>
      </c>
      <c r="K214" t="str">
        <f t="shared" si="22"/>
        <v>http://lottery.merseyworld.com/Euro/archive/Lott213.html</v>
      </c>
    </row>
    <row r="215" spans="1:11" x14ac:dyDescent="0.25">
      <c r="A215">
        <v>214</v>
      </c>
      <c r="B215" s="2" t="str">
        <f t="shared" si="18"/>
        <v>14-03-2008</v>
      </c>
      <c r="C215" t="s">
        <v>10</v>
      </c>
      <c r="D215">
        <v>14</v>
      </c>
      <c r="E215" t="str">
        <f t="shared" si="19"/>
        <v>14</v>
      </c>
      <c r="F215">
        <v>3</v>
      </c>
      <c r="G215" t="str">
        <f t="shared" si="20"/>
        <v>03</v>
      </c>
      <c r="H215">
        <v>2008</v>
      </c>
      <c r="I215" t="str">
        <f t="shared" si="21"/>
        <v>200803</v>
      </c>
      <c r="J215" t="str">
        <f t="shared" si="23"/>
        <v>https://www.euro-millions.com/results/14-03-2008</v>
      </c>
      <c r="K215" t="str">
        <f t="shared" si="22"/>
        <v>http://lottery.merseyworld.com/Euro/archive/Lott214.html</v>
      </c>
    </row>
    <row r="216" spans="1:11" x14ac:dyDescent="0.25">
      <c r="A216">
        <v>215</v>
      </c>
      <c r="B216" s="2" t="str">
        <f t="shared" si="18"/>
        <v>21-03-2008</v>
      </c>
      <c r="C216" t="s">
        <v>10</v>
      </c>
      <c r="D216">
        <v>21</v>
      </c>
      <c r="E216" t="str">
        <f t="shared" si="19"/>
        <v>21</v>
      </c>
      <c r="F216">
        <v>3</v>
      </c>
      <c r="G216" t="str">
        <f t="shared" si="20"/>
        <v>03</v>
      </c>
      <c r="H216">
        <v>2008</v>
      </c>
      <c r="I216" t="str">
        <f t="shared" si="21"/>
        <v>200803</v>
      </c>
      <c r="J216" t="str">
        <f t="shared" si="23"/>
        <v>https://www.euro-millions.com/results/21-03-2008</v>
      </c>
      <c r="K216" t="str">
        <f t="shared" si="22"/>
        <v>http://lottery.merseyworld.com/Euro/archive/Lott215.html</v>
      </c>
    </row>
    <row r="217" spans="1:11" x14ac:dyDescent="0.25">
      <c r="A217">
        <v>216</v>
      </c>
      <c r="B217" s="2" t="str">
        <f t="shared" si="18"/>
        <v>28-03-2008</v>
      </c>
      <c r="C217" t="s">
        <v>10</v>
      </c>
      <c r="D217">
        <v>28</v>
      </c>
      <c r="E217" t="str">
        <f t="shared" si="19"/>
        <v>28</v>
      </c>
      <c r="F217">
        <v>3</v>
      </c>
      <c r="G217" t="str">
        <f t="shared" si="20"/>
        <v>03</v>
      </c>
      <c r="H217">
        <v>2008</v>
      </c>
      <c r="I217" t="str">
        <f t="shared" si="21"/>
        <v>200803</v>
      </c>
      <c r="J217" t="str">
        <f t="shared" si="23"/>
        <v>https://www.euro-millions.com/results/28-03-2008</v>
      </c>
      <c r="K217" t="str">
        <f t="shared" si="22"/>
        <v>http://lottery.merseyworld.com/Euro/archive/Lott216.html</v>
      </c>
    </row>
    <row r="218" spans="1:11" x14ac:dyDescent="0.25">
      <c r="A218">
        <v>217</v>
      </c>
      <c r="B218" s="2" t="str">
        <f t="shared" si="18"/>
        <v>04-04-2008</v>
      </c>
      <c r="C218" t="s">
        <v>10</v>
      </c>
      <c r="D218">
        <v>4</v>
      </c>
      <c r="E218" t="str">
        <f t="shared" si="19"/>
        <v>04</v>
      </c>
      <c r="F218">
        <v>4</v>
      </c>
      <c r="G218" t="str">
        <f t="shared" si="20"/>
        <v>04</v>
      </c>
      <c r="H218">
        <v>2008</v>
      </c>
      <c r="I218" t="str">
        <f t="shared" si="21"/>
        <v>200804</v>
      </c>
      <c r="J218" t="str">
        <f t="shared" si="23"/>
        <v>https://www.euro-millions.com/results/04-04-2008</v>
      </c>
      <c r="K218" t="str">
        <f t="shared" si="22"/>
        <v>http://lottery.merseyworld.com/Euro/archive/Lott217.html</v>
      </c>
    </row>
    <row r="219" spans="1:11" x14ac:dyDescent="0.25">
      <c r="A219">
        <v>218</v>
      </c>
      <c r="B219" s="2" t="str">
        <f t="shared" si="18"/>
        <v>11-04-2008</v>
      </c>
      <c r="C219" t="s">
        <v>10</v>
      </c>
      <c r="D219">
        <v>11</v>
      </c>
      <c r="E219" t="str">
        <f t="shared" si="19"/>
        <v>11</v>
      </c>
      <c r="F219">
        <v>4</v>
      </c>
      <c r="G219" t="str">
        <f t="shared" si="20"/>
        <v>04</v>
      </c>
      <c r="H219">
        <v>2008</v>
      </c>
      <c r="I219" t="str">
        <f t="shared" si="21"/>
        <v>200804</v>
      </c>
      <c r="J219" t="str">
        <f t="shared" si="23"/>
        <v>https://www.euro-millions.com/results/11-04-2008</v>
      </c>
      <c r="K219" t="str">
        <f t="shared" si="22"/>
        <v>http://lottery.merseyworld.com/Euro/archive/Lott218.html</v>
      </c>
    </row>
    <row r="220" spans="1:11" x14ac:dyDescent="0.25">
      <c r="A220">
        <v>219</v>
      </c>
      <c r="B220" s="2" t="str">
        <f t="shared" si="18"/>
        <v>18-04-2008</v>
      </c>
      <c r="C220" t="s">
        <v>10</v>
      </c>
      <c r="D220">
        <v>18</v>
      </c>
      <c r="E220" t="str">
        <f t="shared" si="19"/>
        <v>18</v>
      </c>
      <c r="F220">
        <v>4</v>
      </c>
      <c r="G220" t="str">
        <f t="shared" si="20"/>
        <v>04</v>
      </c>
      <c r="H220">
        <v>2008</v>
      </c>
      <c r="I220" t="str">
        <f t="shared" si="21"/>
        <v>200804</v>
      </c>
      <c r="J220" t="str">
        <f t="shared" si="23"/>
        <v>https://www.euro-millions.com/results/18-04-2008</v>
      </c>
      <c r="K220" t="str">
        <f t="shared" si="22"/>
        <v>http://lottery.merseyworld.com/Euro/archive/Lott219.html</v>
      </c>
    </row>
    <row r="221" spans="1:11" x14ac:dyDescent="0.25">
      <c r="A221">
        <v>220</v>
      </c>
      <c r="B221" s="2" t="str">
        <f t="shared" si="18"/>
        <v>25-04-2008</v>
      </c>
      <c r="C221" t="s">
        <v>10</v>
      </c>
      <c r="D221">
        <v>25</v>
      </c>
      <c r="E221" t="str">
        <f t="shared" si="19"/>
        <v>25</v>
      </c>
      <c r="F221">
        <v>4</v>
      </c>
      <c r="G221" t="str">
        <f t="shared" si="20"/>
        <v>04</v>
      </c>
      <c r="H221">
        <v>2008</v>
      </c>
      <c r="I221" t="str">
        <f t="shared" si="21"/>
        <v>200804</v>
      </c>
      <c r="J221" t="str">
        <f t="shared" si="23"/>
        <v>https://www.euro-millions.com/results/25-04-2008</v>
      </c>
      <c r="K221" t="str">
        <f t="shared" si="22"/>
        <v>http://lottery.merseyworld.com/Euro/archive/Lott220.html</v>
      </c>
    </row>
    <row r="222" spans="1:11" x14ac:dyDescent="0.25">
      <c r="A222">
        <v>221</v>
      </c>
      <c r="B222" s="2" t="str">
        <f t="shared" si="18"/>
        <v>02-05-2008</v>
      </c>
      <c r="C222" t="s">
        <v>10</v>
      </c>
      <c r="D222">
        <v>2</v>
      </c>
      <c r="E222" t="str">
        <f t="shared" si="19"/>
        <v>02</v>
      </c>
      <c r="F222">
        <v>5</v>
      </c>
      <c r="G222" t="str">
        <f t="shared" si="20"/>
        <v>05</v>
      </c>
      <c r="H222">
        <v>2008</v>
      </c>
      <c r="I222" t="str">
        <f t="shared" si="21"/>
        <v>200805</v>
      </c>
      <c r="J222" t="str">
        <f t="shared" si="23"/>
        <v>https://www.euro-millions.com/results/02-05-2008</v>
      </c>
      <c r="K222" t="str">
        <f t="shared" si="22"/>
        <v>http://lottery.merseyworld.com/Euro/archive/Lott221.html</v>
      </c>
    </row>
    <row r="223" spans="1:11" x14ac:dyDescent="0.25">
      <c r="A223">
        <v>222</v>
      </c>
      <c r="B223" s="2" t="str">
        <f t="shared" si="18"/>
        <v>09-05-2008</v>
      </c>
      <c r="C223" t="s">
        <v>10</v>
      </c>
      <c r="D223">
        <v>9</v>
      </c>
      <c r="E223" t="str">
        <f t="shared" si="19"/>
        <v>09</v>
      </c>
      <c r="F223">
        <v>5</v>
      </c>
      <c r="G223" t="str">
        <f t="shared" si="20"/>
        <v>05</v>
      </c>
      <c r="H223">
        <v>2008</v>
      </c>
      <c r="I223" t="str">
        <f t="shared" si="21"/>
        <v>200805</v>
      </c>
      <c r="J223" t="str">
        <f t="shared" si="23"/>
        <v>https://www.euro-millions.com/results/09-05-2008</v>
      </c>
      <c r="K223" t="str">
        <f t="shared" si="22"/>
        <v>http://lottery.merseyworld.com/Euro/archive/Lott222.html</v>
      </c>
    </row>
    <row r="224" spans="1:11" x14ac:dyDescent="0.25">
      <c r="A224">
        <v>223</v>
      </c>
      <c r="B224" s="2" t="str">
        <f t="shared" si="18"/>
        <v>16-05-2008</v>
      </c>
      <c r="C224" t="s">
        <v>10</v>
      </c>
      <c r="D224">
        <v>16</v>
      </c>
      <c r="E224" t="str">
        <f t="shared" si="19"/>
        <v>16</v>
      </c>
      <c r="F224">
        <v>5</v>
      </c>
      <c r="G224" t="str">
        <f t="shared" si="20"/>
        <v>05</v>
      </c>
      <c r="H224">
        <v>2008</v>
      </c>
      <c r="I224" t="str">
        <f t="shared" si="21"/>
        <v>200805</v>
      </c>
      <c r="J224" t="str">
        <f t="shared" si="23"/>
        <v>https://www.euro-millions.com/results/16-05-2008</v>
      </c>
      <c r="K224" t="str">
        <f t="shared" si="22"/>
        <v>http://lottery.merseyworld.com/Euro/archive/Lott223.html</v>
      </c>
    </row>
    <row r="225" spans="1:11" x14ac:dyDescent="0.25">
      <c r="A225">
        <v>224</v>
      </c>
      <c r="B225" s="2" t="str">
        <f t="shared" si="18"/>
        <v>23-05-2008</v>
      </c>
      <c r="C225" t="s">
        <v>10</v>
      </c>
      <c r="D225">
        <v>23</v>
      </c>
      <c r="E225" t="str">
        <f t="shared" si="19"/>
        <v>23</v>
      </c>
      <c r="F225">
        <v>5</v>
      </c>
      <c r="G225" t="str">
        <f t="shared" si="20"/>
        <v>05</v>
      </c>
      <c r="H225">
        <v>2008</v>
      </c>
      <c r="I225" t="str">
        <f t="shared" si="21"/>
        <v>200805</v>
      </c>
      <c r="J225" t="str">
        <f t="shared" si="23"/>
        <v>https://www.euro-millions.com/results/23-05-2008</v>
      </c>
      <c r="K225" t="str">
        <f t="shared" si="22"/>
        <v>http://lottery.merseyworld.com/Euro/archive/Lott224.html</v>
      </c>
    </row>
    <row r="226" spans="1:11" x14ac:dyDescent="0.25">
      <c r="A226">
        <v>225</v>
      </c>
      <c r="B226" s="2" t="str">
        <f t="shared" si="18"/>
        <v>30-05-2008</v>
      </c>
      <c r="C226" t="s">
        <v>10</v>
      </c>
      <c r="D226">
        <v>30</v>
      </c>
      <c r="E226" t="str">
        <f t="shared" si="19"/>
        <v>30</v>
      </c>
      <c r="F226">
        <v>5</v>
      </c>
      <c r="G226" t="str">
        <f t="shared" si="20"/>
        <v>05</v>
      </c>
      <c r="H226">
        <v>2008</v>
      </c>
      <c r="I226" t="str">
        <f t="shared" si="21"/>
        <v>200805</v>
      </c>
      <c r="J226" t="str">
        <f t="shared" si="23"/>
        <v>https://www.euro-millions.com/results/30-05-2008</v>
      </c>
      <c r="K226" t="str">
        <f t="shared" si="22"/>
        <v>http://lottery.merseyworld.com/Euro/archive/Lott225.html</v>
      </c>
    </row>
    <row r="227" spans="1:11" x14ac:dyDescent="0.25">
      <c r="A227">
        <v>226</v>
      </c>
      <c r="B227" s="2" t="str">
        <f t="shared" si="18"/>
        <v>06-06-2008</v>
      </c>
      <c r="C227" t="s">
        <v>10</v>
      </c>
      <c r="D227">
        <v>6</v>
      </c>
      <c r="E227" t="str">
        <f t="shared" si="19"/>
        <v>06</v>
      </c>
      <c r="F227">
        <v>6</v>
      </c>
      <c r="G227" t="str">
        <f t="shared" si="20"/>
        <v>06</v>
      </c>
      <c r="H227">
        <v>2008</v>
      </c>
      <c r="I227" t="str">
        <f t="shared" si="21"/>
        <v>200806</v>
      </c>
      <c r="J227" t="str">
        <f t="shared" si="23"/>
        <v>https://www.euro-millions.com/results/06-06-2008</v>
      </c>
      <c r="K227" t="str">
        <f t="shared" si="22"/>
        <v>http://lottery.merseyworld.com/Euro/archive/Lott226.html</v>
      </c>
    </row>
    <row r="228" spans="1:11" x14ac:dyDescent="0.25">
      <c r="A228">
        <v>227</v>
      </c>
      <c r="B228" s="2" t="str">
        <f t="shared" si="18"/>
        <v>13-06-2008</v>
      </c>
      <c r="C228" t="s">
        <v>10</v>
      </c>
      <c r="D228">
        <v>13</v>
      </c>
      <c r="E228" t="str">
        <f t="shared" si="19"/>
        <v>13</v>
      </c>
      <c r="F228">
        <v>6</v>
      </c>
      <c r="G228" t="str">
        <f t="shared" si="20"/>
        <v>06</v>
      </c>
      <c r="H228">
        <v>2008</v>
      </c>
      <c r="I228" t="str">
        <f t="shared" si="21"/>
        <v>200806</v>
      </c>
      <c r="J228" t="str">
        <f t="shared" si="23"/>
        <v>https://www.euro-millions.com/results/13-06-2008</v>
      </c>
      <c r="K228" t="str">
        <f t="shared" si="22"/>
        <v>http://lottery.merseyworld.com/Euro/archive/Lott227.html</v>
      </c>
    </row>
    <row r="229" spans="1:11" x14ac:dyDescent="0.25">
      <c r="A229">
        <v>228</v>
      </c>
      <c r="B229" s="2" t="str">
        <f t="shared" si="18"/>
        <v>20-06-2008</v>
      </c>
      <c r="C229" t="s">
        <v>10</v>
      </c>
      <c r="D229">
        <v>20</v>
      </c>
      <c r="E229" t="str">
        <f t="shared" si="19"/>
        <v>20</v>
      </c>
      <c r="F229">
        <v>6</v>
      </c>
      <c r="G229" t="str">
        <f t="shared" si="20"/>
        <v>06</v>
      </c>
      <c r="H229">
        <v>2008</v>
      </c>
      <c r="I229" t="str">
        <f t="shared" si="21"/>
        <v>200806</v>
      </c>
      <c r="J229" t="str">
        <f t="shared" si="23"/>
        <v>https://www.euro-millions.com/results/20-06-2008</v>
      </c>
      <c r="K229" t="str">
        <f t="shared" si="22"/>
        <v>http://lottery.merseyworld.com/Euro/archive/Lott228.html</v>
      </c>
    </row>
    <row r="230" spans="1:11" x14ac:dyDescent="0.25">
      <c r="A230">
        <v>229</v>
      </c>
      <c r="B230" s="2" t="str">
        <f t="shared" si="18"/>
        <v>27-06-2008</v>
      </c>
      <c r="C230" t="s">
        <v>10</v>
      </c>
      <c r="D230">
        <v>27</v>
      </c>
      <c r="E230" t="str">
        <f t="shared" si="19"/>
        <v>27</v>
      </c>
      <c r="F230">
        <v>6</v>
      </c>
      <c r="G230" t="str">
        <f t="shared" si="20"/>
        <v>06</v>
      </c>
      <c r="H230">
        <v>2008</v>
      </c>
      <c r="I230" t="str">
        <f t="shared" si="21"/>
        <v>200806</v>
      </c>
      <c r="J230" t="str">
        <f t="shared" si="23"/>
        <v>https://www.euro-millions.com/results/27-06-2008</v>
      </c>
      <c r="K230" t="str">
        <f t="shared" si="22"/>
        <v>http://lottery.merseyworld.com/Euro/archive/Lott229.html</v>
      </c>
    </row>
    <row r="231" spans="1:11" x14ac:dyDescent="0.25">
      <c r="A231">
        <v>230</v>
      </c>
      <c r="B231" s="2" t="str">
        <f t="shared" si="18"/>
        <v>04-07-2008</v>
      </c>
      <c r="C231" t="s">
        <v>10</v>
      </c>
      <c r="D231">
        <v>4</v>
      </c>
      <c r="E231" t="str">
        <f t="shared" si="19"/>
        <v>04</v>
      </c>
      <c r="F231">
        <v>7</v>
      </c>
      <c r="G231" t="str">
        <f t="shared" si="20"/>
        <v>07</v>
      </c>
      <c r="H231">
        <v>2008</v>
      </c>
      <c r="I231" t="str">
        <f t="shared" si="21"/>
        <v>200807</v>
      </c>
      <c r="J231" t="str">
        <f t="shared" si="23"/>
        <v>https://www.euro-millions.com/results/04-07-2008</v>
      </c>
      <c r="K231" t="str">
        <f t="shared" si="22"/>
        <v>http://lottery.merseyworld.com/Euro/archive/Lott230.html</v>
      </c>
    </row>
    <row r="232" spans="1:11" x14ac:dyDescent="0.25">
      <c r="A232">
        <v>231</v>
      </c>
      <c r="B232" s="2" t="str">
        <f t="shared" si="18"/>
        <v>11-07-2008</v>
      </c>
      <c r="C232" t="s">
        <v>10</v>
      </c>
      <c r="D232">
        <v>11</v>
      </c>
      <c r="E232" t="str">
        <f t="shared" si="19"/>
        <v>11</v>
      </c>
      <c r="F232">
        <v>7</v>
      </c>
      <c r="G232" t="str">
        <f t="shared" si="20"/>
        <v>07</v>
      </c>
      <c r="H232">
        <v>2008</v>
      </c>
      <c r="I232" t="str">
        <f t="shared" si="21"/>
        <v>200807</v>
      </c>
      <c r="J232" t="str">
        <f t="shared" si="23"/>
        <v>https://www.euro-millions.com/results/11-07-2008</v>
      </c>
      <c r="K232" t="str">
        <f t="shared" si="22"/>
        <v>http://lottery.merseyworld.com/Euro/archive/Lott231.html</v>
      </c>
    </row>
    <row r="233" spans="1:11" x14ac:dyDescent="0.25">
      <c r="A233">
        <v>232</v>
      </c>
      <c r="B233" s="2" t="str">
        <f t="shared" si="18"/>
        <v>18-07-2008</v>
      </c>
      <c r="C233" t="s">
        <v>10</v>
      </c>
      <c r="D233">
        <v>18</v>
      </c>
      <c r="E233" t="str">
        <f t="shared" si="19"/>
        <v>18</v>
      </c>
      <c r="F233">
        <v>7</v>
      </c>
      <c r="G233" t="str">
        <f t="shared" si="20"/>
        <v>07</v>
      </c>
      <c r="H233">
        <v>2008</v>
      </c>
      <c r="I233" t="str">
        <f t="shared" si="21"/>
        <v>200807</v>
      </c>
      <c r="J233" t="str">
        <f t="shared" si="23"/>
        <v>https://www.euro-millions.com/results/18-07-2008</v>
      </c>
      <c r="K233" t="str">
        <f t="shared" si="22"/>
        <v>http://lottery.merseyworld.com/Euro/archive/Lott232.html</v>
      </c>
    </row>
    <row r="234" spans="1:11" x14ac:dyDescent="0.25">
      <c r="A234">
        <v>233</v>
      </c>
      <c r="B234" s="2" t="str">
        <f t="shared" si="18"/>
        <v>25-07-2008</v>
      </c>
      <c r="C234" t="s">
        <v>10</v>
      </c>
      <c r="D234">
        <v>25</v>
      </c>
      <c r="E234" t="str">
        <f t="shared" si="19"/>
        <v>25</v>
      </c>
      <c r="F234">
        <v>7</v>
      </c>
      <c r="G234" t="str">
        <f t="shared" si="20"/>
        <v>07</v>
      </c>
      <c r="H234">
        <v>2008</v>
      </c>
      <c r="I234" t="str">
        <f t="shared" si="21"/>
        <v>200807</v>
      </c>
      <c r="J234" t="str">
        <f t="shared" si="23"/>
        <v>https://www.euro-millions.com/results/25-07-2008</v>
      </c>
      <c r="K234" t="str">
        <f t="shared" si="22"/>
        <v>http://lottery.merseyworld.com/Euro/archive/Lott233.html</v>
      </c>
    </row>
    <row r="235" spans="1:11" x14ac:dyDescent="0.25">
      <c r="A235">
        <v>234</v>
      </c>
      <c r="B235" s="2" t="str">
        <f t="shared" si="18"/>
        <v>01-08-2008</v>
      </c>
      <c r="C235" t="s">
        <v>10</v>
      </c>
      <c r="D235">
        <v>1</v>
      </c>
      <c r="E235" t="str">
        <f t="shared" si="19"/>
        <v>01</v>
      </c>
      <c r="F235">
        <v>8</v>
      </c>
      <c r="G235" t="str">
        <f t="shared" si="20"/>
        <v>08</v>
      </c>
      <c r="H235">
        <v>2008</v>
      </c>
      <c r="I235" t="str">
        <f t="shared" si="21"/>
        <v>200808</v>
      </c>
      <c r="J235" t="str">
        <f t="shared" si="23"/>
        <v>https://www.euro-millions.com/results/01-08-2008</v>
      </c>
      <c r="K235" t="str">
        <f t="shared" si="22"/>
        <v>http://lottery.merseyworld.com/Euro/archive/Lott234.html</v>
      </c>
    </row>
    <row r="236" spans="1:11" x14ac:dyDescent="0.25">
      <c r="A236">
        <v>235</v>
      </c>
      <c r="B236" s="2" t="str">
        <f t="shared" si="18"/>
        <v>08-08-2008</v>
      </c>
      <c r="C236" t="s">
        <v>10</v>
      </c>
      <c r="D236">
        <v>8</v>
      </c>
      <c r="E236" t="str">
        <f t="shared" si="19"/>
        <v>08</v>
      </c>
      <c r="F236">
        <v>8</v>
      </c>
      <c r="G236" t="str">
        <f t="shared" si="20"/>
        <v>08</v>
      </c>
      <c r="H236">
        <v>2008</v>
      </c>
      <c r="I236" t="str">
        <f t="shared" si="21"/>
        <v>200808</v>
      </c>
      <c r="J236" t="str">
        <f t="shared" si="23"/>
        <v>https://www.euro-millions.com/results/08-08-2008</v>
      </c>
      <c r="K236" t="str">
        <f t="shared" si="22"/>
        <v>http://lottery.merseyworld.com/Euro/archive/Lott235.html</v>
      </c>
    </row>
    <row r="237" spans="1:11" x14ac:dyDescent="0.25">
      <c r="A237">
        <v>236</v>
      </c>
      <c r="B237" s="2" t="str">
        <f t="shared" si="18"/>
        <v>15-08-2008</v>
      </c>
      <c r="C237" t="s">
        <v>10</v>
      </c>
      <c r="D237">
        <v>15</v>
      </c>
      <c r="E237" t="str">
        <f t="shared" si="19"/>
        <v>15</v>
      </c>
      <c r="F237">
        <v>8</v>
      </c>
      <c r="G237" t="str">
        <f t="shared" si="20"/>
        <v>08</v>
      </c>
      <c r="H237">
        <v>2008</v>
      </c>
      <c r="I237" t="str">
        <f t="shared" si="21"/>
        <v>200808</v>
      </c>
      <c r="J237" t="str">
        <f t="shared" si="23"/>
        <v>https://www.euro-millions.com/results/15-08-2008</v>
      </c>
      <c r="K237" t="str">
        <f t="shared" si="22"/>
        <v>http://lottery.merseyworld.com/Euro/archive/Lott236.html</v>
      </c>
    </row>
    <row r="238" spans="1:11" x14ac:dyDescent="0.25">
      <c r="A238">
        <v>237</v>
      </c>
      <c r="B238" s="2" t="str">
        <f t="shared" si="18"/>
        <v>22-08-2008</v>
      </c>
      <c r="C238" t="s">
        <v>10</v>
      </c>
      <c r="D238">
        <v>22</v>
      </c>
      <c r="E238" t="str">
        <f t="shared" si="19"/>
        <v>22</v>
      </c>
      <c r="F238">
        <v>8</v>
      </c>
      <c r="G238" t="str">
        <f t="shared" si="20"/>
        <v>08</v>
      </c>
      <c r="H238">
        <v>2008</v>
      </c>
      <c r="I238" t="str">
        <f t="shared" si="21"/>
        <v>200808</v>
      </c>
      <c r="J238" t="str">
        <f t="shared" si="23"/>
        <v>https://www.euro-millions.com/results/22-08-2008</v>
      </c>
      <c r="K238" t="str">
        <f t="shared" si="22"/>
        <v>http://lottery.merseyworld.com/Euro/archive/Lott237.html</v>
      </c>
    </row>
    <row r="239" spans="1:11" x14ac:dyDescent="0.25">
      <c r="A239">
        <v>238</v>
      </c>
      <c r="B239" s="2" t="str">
        <f t="shared" si="18"/>
        <v>29-08-2008</v>
      </c>
      <c r="C239" t="s">
        <v>10</v>
      </c>
      <c r="D239">
        <v>29</v>
      </c>
      <c r="E239" t="str">
        <f t="shared" si="19"/>
        <v>29</v>
      </c>
      <c r="F239">
        <v>8</v>
      </c>
      <c r="G239" t="str">
        <f t="shared" si="20"/>
        <v>08</v>
      </c>
      <c r="H239">
        <v>2008</v>
      </c>
      <c r="I239" t="str">
        <f t="shared" si="21"/>
        <v>200808</v>
      </c>
      <c r="J239" t="str">
        <f t="shared" si="23"/>
        <v>https://www.euro-millions.com/results/29-08-2008</v>
      </c>
      <c r="K239" t="str">
        <f t="shared" si="22"/>
        <v>http://lottery.merseyworld.com/Euro/archive/Lott238.html</v>
      </c>
    </row>
    <row r="240" spans="1:11" x14ac:dyDescent="0.25">
      <c r="A240">
        <v>239</v>
      </c>
      <c r="B240" s="2" t="str">
        <f t="shared" si="18"/>
        <v>05-09-2008</v>
      </c>
      <c r="C240" t="s">
        <v>10</v>
      </c>
      <c r="D240">
        <v>5</v>
      </c>
      <c r="E240" t="str">
        <f t="shared" si="19"/>
        <v>05</v>
      </c>
      <c r="F240">
        <v>9</v>
      </c>
      <c r="G240" t="str">
        <f t="shared" si="20"/>
        <v>09</v>
      </c>
      <c r="H240">
        <v>2008</v>
      </c>
      <c r="I240" t="str">
        <f t="shared" si="21"/>
        <v>200809</v>
      </c>
      <c r="J240" t="str">
        <f t="shared" si="23"/>
        <v>https://www.euro-millions.com/results/05-09-2008</v>
      </c>
      <c r="K240" t="str">
        <f t="shared" si="22"/>
        <v>http://lottery.merseyworld.com/Euro/archive/Lott239.html</v>
      </c>
    </row>
    <row r="241" spans="1:11" x14ac:dyDescent="0.25">
      <c r="A241">
        <v>240</v>
      </c>
      <c r="B241" s="2" t="str">
        <f t="shared" si="18"/>
        <v>12-09-2008</v>
      </c>
      <c r="C241" t="s">
        <v>10</v>
      </c>
      <c r="D241">
        <v>12</v>
      </c>
      <c r="E241" t="str">
        <f t="shared" si="19"/>
        <v>12</v>
      </c>
      <c r="F241">
        <v>9</v>
      </c>
      <c r="G241" t="str">
        <f t="shared" si="20"/>
        <v>09</v>
      </c>
      <c r="H241">
        <v>2008</v>
      </c>
      <c r="I241" t="str">
        <f t="shared" si="21"/>
        <v>200809</v>
      </c>
      <c r="J241" t="str">
        <f t="shared" si="23"/>
        <v>https://www.euro-millions.com/results/12-09-2008</v>
      </c>
      <c r="K241" t="str">
        <f t="shared" si="22"/>
        <v>http://lottery.merseyworld.com/Euro/archive/Lott240.html</v>
      </c>
    </row>
    <row r="242" spans="1:11" x14ac:dyDescent="0.25">
      <c r="A242">
        <v>241</v>
      </c>
      <c r="B242" s="2" t="str">
        <f t="shared" si="18"/>
        <v>19-09-2008</v>
      </c>
      <c r="C242" t="s">
        <v>10</v>
      </c>
      <c r="D242">
        <v>19</v>
      </c>
      <c r="E242" t="str">
        <f t="shared" si="19"/>
        <v>19</v>
      </c>
      <c r="F242">
        <v>9</v>
      </c>
      <c r="G242" t="str">
        <f t="shared" si="20"/>
        <v>09</v>
      </c>
      <c r="H242">
        <v>2008</v>
      </c>
      <c r="I242" t="str">
        <f t="shared" si="21"/>
        <v>200809</v>
      </c>
      <c r="J242" t="str">
        <f t="shared" si="23"/>
        <v>https://www.euro-millions.com/results/19-09-2008</v>
      </c>
      <c r="K242" t="str">
        <f t="shared" si="22"/>
        <v>http://lottery.merseyworld.com/Euro/archive/Lott241.html</v>
      </c>
    </row>
    <row r="243" spans="1:11" x14ac:dyDescent="0.25">
      <c r="A243">
        <v>242</v>
      </c>
      <c r="B243" s="2" t="str">
        <f t="shared" si="18"/>
        <v>26-09-2008</v>
      </c>
      <c r="C243" t="s">
        <v>10</v>
      </c>
      <c r="D243">
        <v>26</v>
      </c>
      <c r="E243" t="str">
        <f t="shared" si="19"/>
        <v>26</v>
      </c>
      <c r="F243">
        <v>9</v>
      </c>
      <c r="G243" t="str">
        <f t="shared" si="20"/>
        <v>09</v>
      </c>
      <c r="H243">
        <v>2008</v>
      </c>
      <c r="I243" t="str">
        <f t="shared" si="21"/>
        <v>200809</v>
      </c>
      <c r="J243" t="str">
        <f t="shared" si="23"/>
        <v>https://www.euro-millions.com/results/26-09-2008</v>
      </c>
      <c r="K243" t="str">
        <f t="shared" si="22"/>
        <v>http://lottery.merseyworld.com/Euro/archive/Lott242.html</v>
      </c>
    </row>
    <row r="244" spans="1:11" x14ac:dyDescent="0.25">
      <c r="A244">
        <v>243</v>
      </c>
      <c r="B244" s="2" t="str">
        <f t="shared" si="18"/>
        <v>03-10-2008</v>
      </c>
      <c r="C244" t="s">
        <v>10</v>
      </c>
      <c r="D244">
        <v>3</v>
      </c>
      <c r="E244" t="str">
        <f t="shared" si="19"/>
        <v>03</v>
      </c>
      <c r="F244">
        <v>10</v>
      </c>
      <c r="G244" t="str">
        <f t="shared" si="20"/>
        <v>10</v>
      </c>
      <c r="H244">
        <v>2008</v>
      </c>
      <c r="I244" t="str">
        <f t="shared" si="21"/>
        <v>200810</v>
      </c>
      <c r="J244" t="str">
        <f t="shared" si="23"/>
        <v>https://www.euro-millions.com/results/03-10-2008</v>
      </c>
      <c r="K244" t="str">
        <f t="shared" si="22"/>
        <v>http://lottery.merseyworld.com/Euro/archive/Lott243.html</v>
      </c>
    </row>
    <row r="245" spans="1:11" x14ac:dyDescent="0.25">
      <c r="A245">
        <v>244</v>
      </c>
      <c r="B245" s="2" t="str">
        <f t="shared" si="18"/>
        <v>10-10-2008</v>
      </c>
      <c r="C245" t="s">
        <v>10</v>
      </c>
      <c r="D245">
        <v>10</v>
      </c>
      <c r="E245" t="str">
        <f t="shared" si="19"/>
        <v>10</v>
      </c>
      <c r="F245">
        <v>10</v>
      </c>
      <c r="G245" t="str">
        <f t="shared" si="20"/>
        <v>10</v>
      </c>
      <c r="H245">
        <v>2008</v>
      </c>
      <c r="I245" t="str">
        <f t="shared" si="21"/>
        <v>200810</v>
      </c>
      <c r="J245" t="str">
        <f t="shared" si="23"/>
        <v>https://www.euro-millions.com/results/10-10-2008</v>
      </c>
      <c r="K245" t="str">
        <f t="shared" si="22"/>
        <v>http://lottery.merseyworld.com/Euro/archive/Lott244.html</v>
      </c>
    </row>
    <row r="246" spans="1:11" x14ac:dyDescent="0.25">
      <c r="A246">
        <v>245</v>
      </c>
      <c r="B246" s="2" t="str">
        <f t="shared" si="18"/>
        <v>17-10-2008</v>
      </c>
      <c r="C246" t="s">
        <v>10</v>
      </c>
      <c r="D246">
        <v>17</v>
      </c>
      <c r="E246" t="str">
        <f t="shared" si="19"/>
        <v>17</v>
      </c>
      <c r="F246">
        <v>10</v>
      </c>
      <c r="G246" t="str">
        <f t="shared" si="20"/>
        <v>10</v>
      </c>
      <c r="H246">
        <v>2008</v>
      </c>
      <c r="I246" t="str">
        <f t="shared" si="21"/>
        <v>200810</v>
      </c>
      <c r="J246" t="str">
        <f t="shared" si="23"/>
        <v>https://www.euro-millions.com/results/17-10-2008</v>
      </c>
      <c r="K246" t="str">
        <f t="shared" si="22"/>
        <v>http://lottery.merseyworld.com/Euro/archive/Lott245.html</v>
      </c>
    </row>
    <row r="247" spans="1:11" x14ac:dyDescent="0.25">
      <c r="A247">
        <v>246</v>
      </c>
      <c r="B247" s="2" t="str">
        <f t="shared" si="18"/>
        <v>24-10-2008</v>
      </c>
      <c r="C247" t="s">
        <v>10</v>
      </c>
      <c r="D247">
        <v>24</v>
      </c>
      <c r="E247" t="str">
        <f t="shared" si="19"/>
        <v>24</v>
      </c>
      <c r="F247">
        <v>10</v>
      </c>
      <c r="G247" t="str">
        <f t="shared" si="20"/>
        <v>10</v>
      </c>
      <c r="H247">
        <v>2008</v>
      </c>
      <c r="I247" t="str">
        <f t="shared" si="21"/>
        <v>200810</v>
      </c>
      <c r="J247" t="str">
        <f t="shared" si="23"/>
        <v>https://www.euro-millions.com/results/24-10-2008</v>
      </c>
      <c r="K247" t="str">
        <f t="shared" si="22"/>
        <v>http://lottery.merseyworld.com/Euro/archive/Lott246.html</v>
      </c>
    </row>
    <row r="248" spans="1:11" x14ac:dyDescent="0.25">
      <c r="A248">
        <v>247</v>
      </c>
      <c r="B248" s="2" t="str">
        <f t="shared" si="18"/>
        <v>31-10-2008</v>
      </c>
      <c r="C248" t="s">
        <v>10</v>
      </c>
      <c r="D248">
        <v>31</v>
      </c>
      <c r="E248" t="str">
        <f t="shared" si="19"/>
        <v>31</v>
      </c>
      <c r="F248">
        <v>10</v>
      </c>
      <c r="G248" t="str">
        <f t="shared" si="20"/>
        <v>10</v>
      </c>
      <c r="H248">
        <v>2008</v>
      </c>
      <c r="I248" t="str">
        <f t="shared" si="21"/>
        <v>200810</v>
      </c>
      <c r="J248" t="str">
        <f t="shared" si="23"/>
        <v>https://www.euro-millions.com/results/31-10-2008</v>
      </c>
      <c r="K248" t="str">
        <f t="shared" si="22"/>
        <v>http://lottery.merseyworld.com/Euro/archive/Lott247.html</v>
      </c>
    </row>
    <row r="249" spans="1:11" x14ac:dyDescent="0.25">
      <c r="A249">
        <v>248</v>
      </c>
      <c r="B249" s="2" t="str">
        <f t="shared" si="18"/>
        <v>07-11-2008</v>
      </c>
      <c r="C249" t="s">
        <v>10</v>
      </c>
      <c r="D249">
        <v>7</v>
      </c>
      <c r="E249" t="str">
        <f t="shared" si="19"/>
        <v>07</v>
      </c>
      <c r="F249">
        <v>11</v>
      </c>
      <c r="G249" t="str">
        <f t="shared" si="20"/>
        <v>11</v>
      </c>
      <c r="H249">
        <v>2008</v>
      </c>
      <c r="I249" t="str">
        <f t="shared" si="21"/>
        <v>200811</v>
      </c>
      <c r="J249" t="str">
        <f t="shared" si="23"/>
        <v>https://www.euro-millions.com/results/07-11-2008</v>
      </c>
      <c r="K249" t="str">
        <f t="shared" si="22"/>
        <v>http://lottery.merseyworld.com/Euro/archive/Lott248.html</v>
      </c>
    </row>
    <row r="250" spans="1:11" x14ac:dyDescent="0.25">
      <c r="A250">
        <v>249</v>
      </c>
      <c r="B250" s="2" t="str">
        <f t="shared" si="18"/>
        <v>14-11-2008</v>
      </c>
      <c r="C250" t="s">
        <v>10</v>
      </c>
      <c r="D250">
        <v>14</v>
      </c>
      <c r="E250" t="str">
        <f t="shared" si="19"/>
        <v>14</v>
      </c>
      <c r="F250">
        <v>11</v>
      </c>
      <c r="G250" t="str">
        <f t="shared" si="20"/>
        <v>11</v>
      </c>
      <c r="H250">
        <v>2008</v>
      </c>
      <c r="I250" t="str">
        <f t="shared" si="21"/>
        <v>200811</v>
      </c>
      <c r="J250" t="str">
        <f t="shared" si="23"/>
        <v>https://www.euro-millions.com/results/14-11-2008</v>
      </c>
      <c r="K250" t="str">
        <f t="shared" si="22"/>
        <v>http://lottery.merseyworld.com/Euro/archive/Lott249.html</v>
      </c>
    </row>
    <row r="251" spans="1:11" x14ac:dyDescent="0.25">
      <c r="A251">
        <v>250</v>
      </c>
      <c r="B251" s="2" t="str">
        <f t="shared" si="18"/>
        <v>21-11-2008</v>
      </c>
      <c r="C251" t="s">
        <v>10</v>
      </c>
      <c r="D251">
        <v>21</v>
      </c>
      <c r="E251" t="str">
        <f t="shared" si="19"/>
        <v>21</v>
      </c>
      <c r="F251">
        <v>11</v>
      </c>
      <c r="G251" t="str">
        <f t="shared" si="20"/>
        <v>11</v>
      </c>
      <c r="H251">
        <v>2008</v>
      </c>
      <c r="I251" t="str">
        <f t="shared" si="21"/>
        <v>200811</v>
      </c>
      <c r="J251" t="str">
        <f t="shared" si="23"/>
        <v>https://www.euro-millions.com/results/21-11-2008</v>
      </c>
      <c r="K251" t="str">
        <f t="shared" si="22"/>
        <v>http://lottery.merseyworld.com/Euro/archive/Lott250.html</v>
      </c>
    </row>
    <row r="252" spans="1:11" x14ac:dyDescent="0.25">
      <c r="A252">
        <v>251</v>
      </c>
      <c r="B252" s="2" t="str">
        <f t="shared" si="18"/>
        <v>28-11-2008</v>
      </c>
      <c r="C252" t="s">
        <v>10</v>
      </c>
      <c r="D252">
        <v>28</v>
      </c>
      <c r="E252" t="str">
        <f t="shared" si="19"/>
        <v>28</v>
      </c>
      <c r="F252">
        <v>11</v>
      </c>
      <c r="G252" t="str">
        <f t="shared" si="20"/>
        <v>11</v>
      </c>
      <c r="H252">
        <v>2008</v>
      </c>
      <c r="I252" t="str">
        <f t="shared" si="21"/>
        <v>200811</v>
      </c>
      <c r="J252" t="str">
        <f t="shared" si="23"/>
        <v>https://www.euro-millions.com/results/28-11-2008</v>
      </c>
      <c r="K252" t="str">
        <f t="shared" si="22"/>
        <v>http://lottery.merseyworld.com/Euro/archive/Lott251.html</v>
      </c>
    </row>
    <row r="253" spans="1:11" x14ac:dyDescent="0.25">
      <c r="A253">
        <v>252</v>
      </c>
      <c r="B253" s="2" t="str">
        <f t="shared" si="18"/>
        <v>05-12-2008</v>
      </c>
      <c r="C253" t="s">
        <v>10</v>
      </c>
      <c r="D253">
        <v>5</v>
      </c>
      <c r="E253" t="str">
        <f t="shared" si="19"/>
        <v>05</v>
      </c>
      <c r="F253">
        <v>12</v>
      </c>
      <c r="G253" t="str">
        <f t="shared" si="20"/>
        <v>12</v>
      </c>
      <c r="H253">
        <v>2008</v>
      </c>
      <c r="I253" t="str">
        <f t="shared" si="21"/>
        <v>200812</v>
      </c>
      <c r="J253" t="str">
        <f t="shared" si="23"/>
        <v>https://www.euro-millions.com/results/05-12-2008</v>
      </c>
      <c r="K253" t="str">
        <f t="shared" si="22"/>
        <v>http://lottery.merseyworld.com/Euro/archive/Lott252.html</v>
      </c>
    </row>
    <row r="254" spans="1:11" x14ac:dyDescent="0.25">
      <c r="A254">
        <v>253</v>
      </c>
      <c r="B254" s="2" t="str">
        <f t="shared" si="18"/>
        <v>12-12-2008</v>
      </c>
      <c r="C254" t="s">
        <v>10</v>
      </c>
      <c r="D254">
        <v>12</v>
      </c>
      <c r="E254" t="str">
        <f t="shared" si="19"/>
        <v>12</v>
      </c>
      <c r="F254">
        <v>12</v>
      </c>
      <c r="G254" t="str">
        <f t="shared" si="20"/>
        <v>12</v>
      </c>
      <c r="H254">
        <v>2008</v>
      </c>
      <c r="I254" t="str">
        <f t="shared" si="21"/>
        <v>200812</v>
      </c>
      <c r="J254" t="str">
        <f t="shared" si="23"/>
        <v>https://www.euro-millions.com/results/12-12-2008</v>
      </c>
      <c r="K254" t="str">
        <f t="shared" si="22"/>
        <v>http://lottery.merseyworld.com/Euro/archive/Lott253.html</v>
      </c>
    </row>
    <row r="255" spans="1:11" x14ac:dyDescent="0.25">
      <c r="A255">
        <v>254</v>
      </c>
      <c r="B255" s="2" t="str">
        <f t="shared" si="18"/>
        <v>19-12-2008</v>
      </c>
      <c r="C255" t="s">
        <v>10</v>
      </c>
      <c r="D255">
        <v>19</v>
      </c>
      <c r="E255" t="str">
        <f t="shared" si="19"/>
        <v>19</v>
      </c>
      <c r="F255">
        <v>12</v>
      </c>
      <c r="G255" t="str">
        <f t="shared" si="20"/>
        <v>12</v>
      </c>
      <c r="H255">
        <v>2008</v>
      </c>
      <c r="I255" t="str">
        <f t="shared" si="21"/>
        <v>200812</v>
      </c>
      <c r="J255" t="str">
        <f t="shared" si="23"/>
        <v>https://www.euro-millions.com/results/19-12-2008</v>
      </c>
      <c r="K255" t="str">
        <f t="shared" si="22"/>
        <v>http://lottery.merseyworld.com/Euro/archive/Lott254.html</v>
      </c>
    </row>
    <row r="256" spans="1:11" x14ac:dyDescent="0.25">
      <c r="A256">
        <v>255</v>
      </c>
      <c r="B256" s="2" t="str">
        <f t="shared" si="18"/>
        <v>26-12-2008</v>
      </c>
      <c r="C256" t="s">
        <v>10</v>
      </c>
      <c r="D256">
        <v>26</v>
      </c>
      <c r="E256" t="str">
        <f t="shared" si="19"/>
        <v>26</v>
      </c>
      <c r="F256">
        <v>12</v>
      </c>
      <c r="G256" t="str">
        <f t="shared" si="20"/>
        <v>12</v>
      </c>
      <c r="H256">
        <v>2008</v>
      </c>
      <c r="I256" t="str">
        <f t="shared" si="21"/>
        <v>200812</v>
      </c>
      <c r="J256" t="str">
        <f t="shared" si="23"/>
        <v>https://www.euro-millions.com/results/26-12-2008</v>
      </c>
      <c r="K256" t="str">
        <f t="shared" si="22"/>
        <v>http://lottery.merseyworld.com/Euro/archive/Lott255.html</v>
      </c>
    </row>
    <row r="257" spans="1:11" x14ac:dyDescent="0.25">
      <c r="A257">
        <v>256</v>
      </c>
      <c r="B257" s="2" t="str">
        <f t="shared" si="18"/>
        <v>02-01-2009</v>
      </c>
      <c r="C257" t="s">
        <v>10</v>
      </c>
      <c r="D257">
        <v>2</v>
      </c>
      <c r="E257" t="str">
        <f t="shared" si="19"/>
        <v>02</v>
      </c>
      <c r="F257">
        <v>1</v>
      </c>
      <c r="G257" t="str">
        <f t="shared" si="20"/>
        <v>01</v>
      </c>
      <c r="H257">
        <v>2009</v>
      </c>
      <c r="I257" t="str">
        <f t="shared" si="21"/>
        <v>200901</v>
      </c>
      <c r="J257" t="str">
        <f t="shared" si="23"/>
        <v>https://www.euro-millions.com/results/02-01-2009</v>
      </c>
      <c r="K257" t="str">
        <f t="shared" si="22"/>
        <v>http://lottery.merseyworld.com/Euro/archive/Lott256.html</v>
      </c>
    </row>
    <row r="258" spans="1:11" x14ac:dyDescent="0.25">
      <c r="A258">
        <v>257</v>
      </c>
      <c r="B258" s="2" t="str">
        <f t="shared" si="18"/>
        <v>09-01-2009</v>
      </c>
      <c r="C258" t="s">
        <v>10</v>
      </c>
      <c r="D258">
        <v>9</v>
      </c>
      <c r="E258" t="str">
        <f t="shared" si="19"/>
        <v>09</v>
      </c>
      <c r="F258">
        <v>1</v>
      </c>
      <c r="G258" t="str">
        <f t="shared" si="20"/>
        <v>01</v>
      </c>
      <c r="H258">
        <v>2009</v>
      </c>
      <c r="I258" t="str">
        <f t="shared" si="21"/>
        <v>200901</v>
      </c>
      <c r="J258" t="str">
        <f t="shared" si="23"/>
        <v>https://www.euro-millions.com/results/09-01-2009</v>
      </c>
      <c r="K258" t="str">
        <f t="shared" si="22"/>
        <v>http://lottery.merseyworld.com/Euro/archive/Lott257.html</v>
      </c>
    </row>
    <row r="259" spans="1:11" x14ac:dyDescent="0.25">
      <c r="A259">
        <v>258</v>
      </c>
      <c r="B259" s="2" t="str">
        <f t="shared" ref="B259:B322" si="24">CONCATENATE(E259,"-",G259,"-",H259)</f>
        <v>16-01-2009</v>
      </c>
      <c r="C259" t="s">
        <v>10</v>
      </c>
      <c r="D259">
        <v>16</v>
      </c>
      <c r="E259" t="str">
        <f t="shared" ref="E259:E322" si="25">CONCATENATE(IF(LEN(D259)=1,CONCATENATE("0",D259),D259))</f>
        <v>16</v>
      </c>
      <c r="F259">
        <v>1</v>
      </c>
      <c r="G259" t="str">
        <f t="shared" ref="G259:G322" si="26">CONCATENATE(IF(LEN(F259)=1,CONCATENATE("0",F259),F259))</f>
        <v>01</v>
      </c>
      <c r="H259">
        <v>2009</v>
      </c>
      <c r="I259" t="str">
        <f t="shared" ref="I259:I322" si="27">CONCATENATE(H259,IF(LEN(F259)=1,CONCATENATE("0",F259),F259))</f>
        <v>200901</v>
      </c>
      <c r="J259" t="str">
        <f t="shared" si="23"/>
        <v>https://www.euro-millions.com/results/16-01-2009</v>
      </c>
      <c r="K259" t="str">
        <f t="shared" ref="K259:K322" si="28">CONCATENATE("http://lottery.merseyworld.com/Euro/archive/Lott",RIGHT(CONCATENATE("00",A259),3),".html")</f>
        <v>http://lottery.merseyworld.com/Euro/archive/Lott258.html</v>
      </c>
    </row>
    <row r="260" spans="1:11" x14ac:dyDescent="0.25">
      <c r="A260">
        <v>259</v>
      </c>
      <c r="B260" s="2" t="str">
        <f t="shared" si="24"/>
        <v>23-01-2009</v>
      </c>
      <c r="C260" t="s">
        <v>10</v>
      </c>
      <c r="D260">
        <v>23</v>
      </c>
      <c r="E260" t="str">
        <f t="shared" si="25"/>
        <v>23</v>
      </c>
      <c r="F260">
        <v>1</v>
      </c>
      <c r="G260" t="str">
        <f t="shared" si="26"/>
        <v>01</v>
      </c>
      <c r="H260">
        <v>2009</v>
      </c>
      <c r="I260" t="str">
        <f t="shared" si="27"/>
        <v>200901</v>
      </c>
      <c r="J260" t="str">
        <f t="shared" si="23"/>
        <v>https://www.euro-millions.com/results/23-01-2009</v>
      </c>
      <c r="K260" t="str">
        <f t="shared" si="28"/>
        <v>http://lottery.merseyworld.com/Euro/archive/Lott259.html</v>
      </c>
    </row>
    <row r="261" spans="1:11" x14ac:dyDescent="0.25">
      <c r="A261">
        <v>260</v>
      </c>
      <c r="B261" s="2" t="str">
        <f t="shared" si="24"/>
        <v>30-01-2009</v>
      </c>
      <c r="C261" t="s">
        <v>10</v>
      </c>
      <c r="D261">
        <v>30</v>
      </c>
      <c r="E261" t="str">
        <f t="shared" si="25"/>
        <v>30</v>
      </c>
      <c r="F261">
        <v>1</v>
      </c>
      <c r="G261" t="str">
        <f t="shared" si="26"/>
        <v>01</v>
      </c>
      <c r="H261">
        <v>2009</v>
      </c>
      <c r="I261" t="str">
        <f t="shared" si="27"/>
        <v>200901</v>
      </c>
      <c r="J261" t="str">
        <f t="shared" si="23"/>
        <v>https://www.euro-millions.com/results/30-01-2009</v>
      </c>
      <c r="K261" t="str">
        <f t="shared" si="28"/>
        <v>http://lottery.merseyworld.com/Euro/archive/Lott260.html</v>
      </c>
    </row>
    <row r="262" spans="1:11" x14ac:dyDescent="0.25">
      <c r="A262">
        <v>261</v>
      </c>
      <c r="B262" s="2" t="str">
        <f t="shared" si="24"/>
        <v>06-02-2009</v>
      </c>
      <c r="C262" t="s">
        <v>10</v>
      </c>
      <c r="D262">
        <v>6</v>
      </c>
      <c r="E262" t="str">
        <f t="shared" si="25"/>
        <v>06</v>
      </c>
      <c r="F262">
        <v>2</v>
      </c>
      <c r="G262" t="str">
        <f t="shared" si="26"/>
        <v>02</v>
      </c>
      <c r="H262">
        <v>2009</v>
      </c>
      <c r="I262" t="str">
        <f t="shared" si="27"/>
        <v>200902</v>
      </c>
      <c r="J262" t="str">
        <f t="shared" si="23"/>
        <v>https://www.euro-millions.com/results/06-02-2009</v>
      </c>
      <c r="K262" t="str">
        <f t="shared" si="28"/>
        <v>http://lottery.merseyworld.com/Euro/archive/Lott261.html</v>
      </c>
    </row>
    <row r="263" spans="1:11" x14ac:dyDescent="0.25">
      <c r="A263">
        <v>262</v>
      </c>
      <c r="B263" s="2" t="str">
        <f t="shared" si="24"/>
        <v>13-02-2009</v>
      </c>
      <c r="C263" t="s">
        <v>10</v>
      </c>
      <c r="D263">
        <v>13</v>
      </c>
      <c r="E263" t="str">
        <f t="shared" si="25"/>
        <v>13</v>
      </c>
      <c r="F263">
        <v>2</v>
      </c>
      <c r="G263" t="str">
        <f t="shared" si="26"/>
        <v>02</v>
      </c>
      <c r="H263">
        <v>2009</v>
      </c>
      <c r="I263" t="str">
        <f t="shared" si="27"/>
        <v>200902</v>
      </c>
      <c r="J263" t="str">
        <f t="shared" si="23"/>
        <v>https://www.euro-millions.com/results/13-02-2009</v>
      </c>
      <c r="K263" t="str">
        <f t="shared" si="28"/>
        <v>http://lottery.merseyworld.com/Euro/archive/Lott262.html</v>
      </c>
    </row>
    <row r="264" spans="1:11" x14ac:dyDescent="0.25">
      <c r="A264">
        <v>263</v>
      </c>
      <c r="B264" s="2" t="str">
        <f t="shared" si="24"/>
        <v>20-02-2009</v>
      </c>
      <c r="C264" t="s">
        <v>10</v>
      </c>
      <c r="D264">
        <v>20</v>
      </c>
      <c r="E264" t="str">
        <f t="shared" si="25"/>
        <v>20</v>
      </c>
      <c r="F264">
        <v>2</v>
      </c>
      <c r="G264" t="str">
        <f t="shared" si="26"/>
        <v>02</v>
      </c>
      <c r="H264">
        <v>2009</v>
      </c>
      <c r="I264" t="str">
        <f t="shared" si="27"/>
        <v>200902</v>
      </c>
      <c r="J264" t="str">
        <f t="shared" ref="J264:J327" si="29">CONCATENATE("https://www.euro-millions.com/results/",E264,"-",G264,"-",H264)</f>
        <v>https://www.euro-millions.com/results/20-02-2009</v>
      </c>
      <c r="K264" t="str">
        <f t="shared" si="28"/>
        <v>http://lottery.merseyworld.com/Euro/archive/Lott263.html</v>
      </c>
    </row>
    <row r="265" spans="1:11" x14ac:dyDescent="0.25">
      <c r="A265">
        <v>264</v>
      </c>
      <c r="B265" s="2" t="str">
        <f t="shared" si="24"/>
        <v>27-02-2009</v>
      </c>
      <c r="C265" t="s">
        <v>10</v>
      </c>
      <c r="D265">
        <v>27</v>
      </c>
      <c r="E265" t="str">
        <f t="shared" si="25"/>
        <v>27</v>
      </c>
      <c r="F265">
        <v>2</v>
      </c>
      <c r="G265" t="str">
        <f t="shared" si="26"/>
        <v>02</v>
      </c>
      <c r="H265">
        <v>2009</v>
      </c>
      <c r="I265" t="str">
        <f t="shared" si="27"/>
        <v>200902</v>
      </c>
      <c r="J265" t="str">
        <f t="shared" si="29"/>
        <v>https://www.euro-millions.com/results/27-02-2009</v>
      </c>
      <c r="K265" t="str">
        <f t="shared" si="28"/>
        <v>http://lottery.merseyworld.com/Euro/archive/Lott264.html</v>
      </c>
    </row>
    <row r="266" spans="1:11" x14ac:dyDescent="0.25">
      <c r="A266">
        <v>265</v>
      </c>
      <c r="B266" s="2" t="str">
        <f t="shared" si="24"/>
        <v>06-03-2009</v>
      </c>
      <c r="C266" t="s">
        <v>10</v>
      </c>
      <c r="D266">
        <v>6</v>
      </c>
      <c r="E266" t="str">
        <f t="shared" si="25"/>
        <v>06</v>
      </c>
      <c r="F266">
        <v>3</v>
      </c>
      <c r="G266" t="str">
        <f t="shared" si="26"/>
        <v>03</v>
      </c>
      <c r="H266">
        <v>2009</v>
      </c>
      <c r="I266" t="str">
        <f t="shared" si="27"/>
        <v>200903</v>
      </c>
      <c r="J266" t="str">
        <f t="shared" si="29"/>
        <v>https://www.euro-millions.com/results/06-03-2009</v>
      </c>
      <c r="K266" t="str">
        <f t="shared" si="28"/>
        <v>http://lottery.merseyworld.com/Euro/archive/Lott265.html</v>
      </c>
    </row>
    <row r="267" spans="1:11" x14ac:dyDescent="0.25">
      <c r="A267">
        <v>266</v>
      </c>
      <c r="B267" s="2" t="str">
        <f t="shared" si="24"/>
        <v>13-03-2009</v>
      </c>
      <c r="C267" t="s">
        <v>10</v>
      </c>
      <c r="D267">
        <v>13</v>
      </c>
      <c r="E267" t="str">
        <f t="shared" si="25"/>
        <v>13</v>
      </c>
      <c r="F267">
        <v>3</v>
      </c>
      <c r="G267" t="str">
        <f t="shared" si="26"/>
        <v>03</v>
      </c>
      <c r="H267">
        <v>2009</v>
      </c>
      <c r="I267" t="str">
        <f t="shared" si="27"/>
        <v>200903</v>
      </c>
      <c r="J267" t="str">
        <f t="shared" si="29"/>
        <v>https://www.euro-millions.com/results/13-03-2009</v>
      </c>
      <c r="K267" t="str">
        <f t="shared" si="28"/>
        <v>http://lottery.merseyworld.com/Euro/archive/Lott266.html</v>
      </c>
    </row>
    <row r="268" spans="1:11" x14ac:dyDescent="0.25">
      <c r="A268">
        <v>267</v>
      </c>
      <c r="B268" s="2" t="str">
        <f t="shared" si="24"/>
        <v>20-03-2009</v>
      </c>
      <c r="C268" t="s">
        <v>10</v>
      </c>
      <c r="D268">
        <v>20</v>
      </c>
      <c r="E268" t="str">
        <f t="shared" si="25"/>
        <v>20</v>
      </c>
      <c r="F268">
        <v>3</v>
      </c>
      <c r="G268" t="str">
        <f t="shared" si="26"/>
        <v>03</v>
      </c>
      <c r="H268">
        <v>2009</v>
      </c>
      <c r="I268" t="str">
        <f t="shared" si="27"/>
        <v>200903</v>
      </c>
      <c r="J268" t="str">
        <f t="shared" si="29"/>
        <v>https://www.euro-millions.com/results/20-03-2009</v>
      </c>
      <c r="K268" t="str">
        <f t="shared" si="28"/>
        <v>http://lottery.merseyworld.com/Euro/archive/Lott267.html</v>
      </c>
    </row>
    <row r="269" spans="1:11" x14ac:dyDescent="0.25">
      <c r="A269">
        <v>268</v>
      </c>
      <c r="B269" s="2" t="str">
        <f t="shared" si="24"/>
        <v>27-03-2009</v>
      </c>
      <c r="C269" t="s">
        <v>10</v>
      </c>
      <c r="D269">
        <v>27</v>
      </c>
      <c r="E269" t="str">
        <f t="shared" si="25"/>
        <v>27</v>
      </c>
      <c r="F269">
        <v>3</v>
      </c>
      <c r="G269" t="str">
        <f t="shared" si="26"/>
        <v>03</v>
      </c>
      <c r="H269">
        <v>2009</v>
      </c>
      <c r="I269" t="str">
        <f t="shared" si="27"/>
        <v>200903</v>
      </c>
      <c r="J269" t="str">
        <f t="shared" si="29"/>
        <v>https://www.euro-millions.com/results/27-03-2009</v>
      </c>
      <c r="K269" t="str">
        <f t="shared" si="28"/>
        <v>http://lottery.merseyworld.com/Euro/archive/Lott268.html</v>
      </c>
    </row>
    <row r="270" spans="1:11" x14ac:dyDescent="0.25">
      <c r="A270">
        <v>269</v>
      </c>
      <c r="B270" s="2" t="str">
        <f t="shared" si="24"/>
        <v>03-04-2009</v>
      </c>
      <c r="C270" t="s">
        <v>10</v>
      </c>
      <c r="D270">
        <v>3</v>
      </c>
      <c r="E270" t="str">
        <f t="shared" si="25"/>
        <v>03</v>
      </c>
      <c r="F270">
        <v>4</v>
      </c>
      <c r="G270" t="str">
        <f t="shared" si="26"/>
        <v>04</v>
      </c>
      <c r="H270">
        <v>2009</v>
      </c>
      <c r="I270" t="str">
        <f t="shared" si="27"/>
        <v>200904</v>
      </c>
      <c r="J270" t="str">
        <f t="shared" si="29"/>
        <v>https://www.euro-millions.com/results/03-04-2009</v>
      </c>
      <c r="K270" t="str">
        <f t="shared" si="28"/>
        <v>http://lottery.merseyworld.com/Euro/archive/Lott269.html</v>
      </c>
    </row>
    <row r="271" spans="1:11" x14ac:dyDescent="0.25">
      <c r="A271">
        <v>270</v>
      </c>
      <c r="B271" s="2" t="str">
        <f t="shared" si="24"/>
        <v>10-04-2009</v>
      </c>
      <c r="C271" t="s">
        <v>10</v>
      </c>
      <c r="D271">
        <v>10</v>
      </c>
      <c r="E271" t="str">
        <f t="shared" si="25"/>
        <v>10</v>
      </c>
      <c r="F271">
        <v>4</v>
      </c>
      <c r="G271" t="str">
        <f t="shared" si="26"/>
        <v>04</v>
      </c>
      <c r="H271">
        <v>2009</v>
      </c>
      <c r="I271" t="str">
        <f t="shared" si="27"/>
        <v>200904</v>
      </c>
      <c r="J271" t="str">
        <f t="shared" si="29"/>
        <v>https://www.euro-millions.com/results/10-04-2009</v>
      </c>
      <c r="K271" t="str">
        <f t="shared" si="28"/>
        <v>http://lottery.merseyworld.com/Euro/archive/Lott270.html</v>
      </c>
    </row>
    <row r="272" spans="1:11" x14ac:dyDescent="0.25">
      <c r="A272">
        <v>271</v>
      </c>
      <c r="B272" s="2" t="str">
        <f t="shared" si="24"/>
        <v>17-04-2009</v>
      </c>
      <c r="C272" t="s">
        <v>10</v>
      </c>
      <c r="D272">
        <v>17</v>
      </c>
      <c r="E272" t="str">
        <f t="shared" si="25"/>
        <v>17</v>
      </c>
      <c r="F272">
        <v>4</v>
      </c>
      <c r="G272" t="str">
        <f t="shared" si="26"/>
        <v>04</v>
      </c>
      <c r="H272">
        <v>2009</v>
      </c>
      <c r="I272" t="str">
        <f t="shared" si="27"/>
        <v>200904</v>
      </c>
      <c r="J272" t="str">
        <f t="shared" si="29"/>
        <v>https://www.euro-millions.com/results/17-04-2009</v>
      </c>
      <c r="K272" t="str">
        <f t="shared" si="28"/>
        <v>http://lottery.merseyworld.com/Euro/archive/Lott271.html</v>
      </c>
    </row>
    <row r="273" spans="1:11" x14ac:dyDescent="0.25">
      <c r="A273">
        <v>272</v>
      </c>
      <c r="B273" s="2" t="str">
        <f t="shared" si="24"/>
        <v>24-04-2009</v>
      </c>
      <c r="C273" t="s">
        <v>10</v>
      </c>
      <c r="D273">
        <v>24</v>
      </c>
      <c r="E273" t="str">
        <f t="shared" si="25"/>
        <v>24</v>
      </c>
      <c r="F273">
        <v>4</v>
      </c>
      <c r="G273" t="str">
        <f t="shared" si="26"/>
        <v>04</v>
      </c>
      <c r="H273">
        <v>2009</v>
      </c>
      <c r="I273" t="str">
        <f t="shared" si="27"/>
        <v>200904</v>
      </c>
      <c r="J273" t="str">
        <f t="shared" si="29"/>
        <v>https://www.euro-millions.com/results/24-04-2009</v>
      </c>
      <c r="K273" t="str">
        <f t="shared" si="28"/>
        <v>http://lottery.merseyworld.com/Euro/archive/Lott272.html</v>
      </c>
    </row>
    <row r="274" spans="1:11" x14ac:dyDescent="0.25">
      <c r="A274">
        <v>273</v>
      </c>
      <c r="B274" s="2" t="str">
        <f t="shared" si="24"/>
        <v>01-05-2009</v>
      </c>
      <c r="C274" t="s">
        <v>10</v>
      </c>
      <c r="D274">
        <v>1</v>
      </c>
      <c r="E274" t="str">
        <f t="shared" si="25"/>
        <v>01</v>
      </c>
      <c r="F274">
        <v>5</v>
      </c>
      <c r="G274" t="str">
        <f t="shared" si="26"/>
        <v>05</v>
      </c>
      <c r="H274">
        <v>2009</v>
      </c>
      <c r="I274" t="str">
        <f t="shared" si="27"/>
        <v>200905</v>
      </c>
      <c r="J274" t="str">
        <f t="shared" si="29"/>
        <v>https://www.euro-millions.com/results/01-05-2009</v>
      </c>
      <c r="K274" t="str">
        <f t="shared" si="28"/>
        <v>http://lottery.merseyworld.com/Euro/archive/Lott273.html</v>
      </c>
    </row>
    <row r="275" spans="1:11" x14ac:dyDescent="0.25">
      <c r="A275">
        <v>274</v>
      </c>
      <c r="B275" s="2" t="str">
        <f t="shared" si="24"/>
        <v>08-05-2009</v>
      </c>
      <c r="C275" t="s">
        <v>10</v>
      </c>
      <c r="D275">
        <v>8</v>
      </c>
      <c r="E275" t="str">
        <f t="shared" si="25"/>
        <v>08</v>
      </c>
      <c r="F275">
        <v>5</v>
      </c>
      <c r="G275" t="str">
        <f t="shared" si="26"/>
        <v>05</v>
      </c>
      <c r="H275">
        <v>2009</v>
      </c>
      <c r="I275" t="str">
        <f t="shared" si="27"/>
        <v>200905</v>
      </c>
      <c r="J275" t="str">
        <f t="shared" si="29"/>
        <v>https://www.euro-millions.com/results/08-05-2009</v>
      </c>
      <c r="K275" t="str">
        <f t="shared" si="28"/>
        <v>http://lottery.merseyworld.com/Euro/archive/Lott274.html</v>
      </c>
    </row>
    <row r="276" spans="1:11" x14ac:dyDescent="0.25">
      <c r="A276">
        <v>275</v>
      </c>
      <c r="B276" s="2" t="str">
        <f t="shared" si="24"/>
        <v>15-05-2009</v>
      </c>
      <c r="C276" t="s">
        <v>10</v>
      </c>
      <c r="D276">
        <v>15</v>
      </c>
      <c r="E276" t="str">
        <f t="shared" si="25"/>
        <v>15</v>
      </c>
      <c r="F276">
        <v>5</v>
      </c>
      <c r="G276" t="str">
        <f t="shared" si="26"/>
        <v>05</v>
      </c>
      <c r="H276">
        <v>2009</v>
      </c>
      <c r="I276" t="str">
        <f t="shared" si="27"/>
        <v>200905</v>
      </c>
      <c r="J276" t="str">
        <f t="shared" si="29"/>
        <v>https://www.euro-millions.com/results/15-05-2009</v>
      </c>
      <c r="K276" t="str">
        <f t="shared" si="28"/>
        <v>http://lottery.merseyworld.com/Euro/archive/Lott275.html</v>
      </c>
    </row>
    <row r="277" spans="1:11" x14ac:dyDescent="0.25">
      <c r="A277">
        <v>276</v>
      </c>
      <c r="B277" s="2" t="str">
        <f t="shared" si="24"/>
        <v>22-05-2009</v>
      </c>
      <c r="C277" t="s">
        <v>10</v>
      </c>
      <c r="D277">
        <v>22</v>
      </c>
      <c r="E277" t="str">
        <f t="shared" si="25"/>
        <v>22</v>
      </c>
      <c r="F277">
        <v>5</v>
      </c>
      <c r="G277" t="str">
        <f t="shared" si="26"/>
        <v>05</v>
      </c>
      <c r="H277">
        <v>2009</v>
      </c>
      <c r="I277" t="str">
        <f t="shared" si="27"/>
        <v>200905</v>
      </c>
      <c r="J277" t="str">
        <f t="shared" si="29"/>
        <v>https://www.euro-millions.com/results/22-05-2009</v>
      </c>
      <c r="K277" t="str">
        <f t="shared" si="28"/>
        <v>http://lottery.merseyworld.com/Euro/archive/Lott276.html</v>
      </c>
    </row>
    <row r="278" spans="1:11" x14ac:dyDescent="0.25">
      <c r="A278">
        <v>277</v>
      </c>
      <c r="B278" s="2" t="str">
        <f t="shared" si="24"/>
        <v>29-05-2009</v>
      </c>
      <c r="C278" t="s">
        <v>10</v>
      </c>
      <c r="D278">
        <v>29</v>
      </c>
      <c r="E278" t="str">
        <f t="shared" si="25"/>
        <v>29</v>
      </c>
      <c r="F278">
        <v>5</v>
      </c>
      <c r="G278" t="str">
        <f t="shared" si="26"/>
        <v>05</v>
      </c>
      <c r="H278">
        <v>2009</v>
      </c>
      <c r="I278" t="str">
        <f t="shared" si="27"/>
        <v>200905</v>
      </c>
      <c r="J278" t="str">
        <f t="shared" si="29"/>
        <v>https://www.euro-millions.com/results/29-05-2009</v>
      </c>
      <c r="K278" t="str">
        <f t="shared" si="28"/>
        <v>http://lottery.merseyworld.com/Euro/archive/Lott277.html</v>
      </c>
    </row>
    <row r="279" spans="1:11" x14ac:dyDescent="0.25">
      <c r="A279">
        <v>278</v>
      </c>
      <c r="B279" s="2" t="str">
        <f t="shared" si="24"/>
        <v>05-06-2009</v>
      </c>
      <c r="C279" t="s">
        <v>10</v>
      </c>
      <c r="D279">
        <v>5</v>
      </c>
      <c r="E279" t="str">
        <f t="shared" si="25"/>
        <v>05</v>
      </c>
      <c r="F279">
        <v>6</v>
      </c>
      <c r="G279" t="str">
        <f t="shared" si="26"/>
        <v>06</v>
      </c>
      <c r="H279">
        <v>2009</v>
      </c>
      <c r="I279" t="str">
        <f t="shared" si="27"/>
        <v>200906</v>
      </c>
      <c r="J279" t="str">
        <f t="shared" si="29"/>
        <v>https://www.euro-millions.com/results/05-06-2009</v>
      </c>
      <c r="K279" t="str">
        <f t="shared" si="28"/>
        <v>http://lottery.merseyworld.com/Euro/archive/Lott278.html</v>
      </c>
    </row>
    <row r="280" spans="1:11" x14ac:dyDescent="0.25">
      <c r="A280">
        <v>279</v>
      </c>
      <c r="B280" s="2" t="str">
        <f t="shared" si="24"/>
        <v>12-06-2009</v>
      </c>
      <c r="C280" t="s">
        <v>10</v>
      </c>
      <c r="D280">
        <v>12</v>
      </c>
      <c r="E280" t="str">
        <f t="shared" si="25"/>
        <v>12</v>
      </c>
      <c r="F280">
        <v>6</v>
      </c>
      <c r="G280" t="str">
        <f t="shared" si="26"/>
        <v>06</v>
      </c>
      <c r="H280">
        <v>2009</v>
      </c>
      <c r="I280" t="str">
        <f t="shared" si="27"/>
        <v>200906</v>
      </c>
      <c r="J280" t="str">
        <f t="shared" si="29"/>
        <v>https://www.euro-millions.com/results/12-06-2009</v>
      </c>
      <c r="K280" t="str">
        <f t="shared" si="28"/>
        <v>http://lottery.merseyworld.com/Euro/archive/Lott279.html</v>
      </c>
    </row>
    <row r="281" spans="1:11" x14ac:dyDescent="0.25">
      <c r="A281">
        <v>280</v>
      </c>
      <c r="B281" s="2" t="str">
        <f t="shared" si="24"/>
        <v>19-06-2009</v>
      </c>
      <c r="C281" t="s">
        <v>10</v>
      </c>
      <c r="D281">
        <v>19</v>
      </c>
      <c r="E281" t="str">
        <f t="shared" si="25"/>
        <v>19</v>
      </c>
      <c r="F281">
        <v>6</v>
      </c>
      <c r="G281" t="str">
        <f t="shared" si="26"/>
        <v>06</v>
      </c>
      <c r="H281">
        <v>2009</v>
      </c>
      <c r="I281" t="str">
        <f t="shared" si="27"/>
        <v>200906</v>
      </c>
      <c r="J281" t="str">
        <f t="shared" si="29"/>
        <v>https://www.euro-millions.com/results/19-06-2009</v>
      </c>
      <c r="K281" t="str">
        <f t="shared" si="28"/>
        <v>http://lottery.merseyworld.com/Euro/archive/Lott280.html</v>
      </c>
    </row>
    <row r="282" spans="1:11" x14ac:dyDescent="0.25">
      <c r="A282">
        <v>281</v>
      </c>
      <c r="B282" s="2" t="str">
        <f t="shared" si="24"/>
        <v>26-06-2009</v>
      </c>
      <c r="C282" t="s">
        <v>10</v>
      </c>
      <c r="D282">
        <v>26</v>
      </c>
      <c r="E282" t="str">
        <f t="shared" si="25"/>
        <v>26</v>
      </c>
      <c r="F282">
        <v>6</v>
      </c>
      <c r="G282" t="str">
        <f t="shared" si="26"/>
        <v>06</v>
      </c>
      <c r="H282">
        <v>2009</v>
      </c>
      <c r="I282" t="str">
        <f t="shared" si="27"/>
        <v>200906</v>
      </c>
      <c r="J282" t="str">
        <f t="shared" si="29"/>
        <v>https://www.euro-millions.com/results/26-06-2009</v>
      </c>
      <c r="K282" t="str">
        <f t="shared" si="28"/>
        <v>http://lottery.merseyworld.com/Euro/archive/Lott281.html</v>
      </c>
    </row>
    <row r="283" spans="1:11" x14ac:dyDescent="0.25">
      <c r="A283">
        <v>282</v>
      </c>
      <c r="B283" s="2" t="str">
        <f t="shared" si="24"/>
        <v>03-07-2009</v>
      </c>
      <c r="C283" t="s">
        <v>10</v>
      </c>
      <c r="D283">
        <v>3</v>
      </c>
      <c r="E283" t="str">
        <f t="shared" si="25"/>
        <v>03</v>
      </c>
      <c r="F283">
        <v>7</v>
      </c>
      <c r="G283" t="str">
        <f t="shared" si="26"/>
        <v>07</v>
      </c>
      <c r="H283">
        <v>2009</v>
      </c>
      <c r="I283" t="str">
        <f t="shared" si="27"/>
        <v>200907</v>
      </c>
      <c r="J283" t="str">
        <f t="shared" si="29"/>
        <v>https://www.euro-millions.com/results/03-07-2009</v>
      </c>
      <c r="K283" t="str">
        <f t="shared" si="28"/>
        <v>http://lottery.merseyworld.com/Euro/archive/Lott282.html</v>
      </c>
    </row>
    <row r="284" spans="1:11" x14ac:dyDescent="0.25">
      <c r="A284">
        <v>283</v>
      </c>
      <c r="B284" s="2" t="str">
        <f t="shared" si="24"/>
        <v>10-07-2009</v>
      </c>
      <c r="C284" t="s">
        <v>10</v>
      </c>
      <c r="D284">
        <v>10</v>
      </c>
      <c r="E284" t="str">
        <f t="shared" si="25"/>
        <v>10</v>
      </c>
      <c r="F284">
        <v>7</v>
      </c>
      <c r="G284" t="str">
        <f t="shared" si="26"/>
        <v>07</v>
      </c>
      <c r="H284">
        <v>2009</v>
      </c>
      <c r="I284" t="str">
        <f t="shared" si="27"/>
        <v>200907</v>
      </c>
      <c r="J284" t="str">
        <f t="shared" si="29"/>
        <v>https://www.euro-millions.com/results/10-07-2009</v>
      </c>
      <c r="K284" t="str">
        <f t="shared" si="28"/>
        <v>http://lottery.merseyworld.com/Euro/archive/Lott283.html</v>
      </c>
    </row>
    <row r="285" spans="1:11" x14ac:dyDescent="0.25">
      <c r="A285">
        <v>284</v>
      </c>
      <c r="B285" s="2" t="str">
        <f t="shared" si="24"/>
        <v>17-07-2009</v>
      </c>
      <c r="C285" t="s">
        <v>10</v>
      </c>
      <c r="D285">
        <v>17</v>
      </c>
      <c r="E285" t="str">
        <f t="shared" si="25"/>
        <v>17</v>
      </c>
      <c r="F285">
        <v>7</v>
      </c>
      <c r="G285" t="str">
        <f t="shared" si="26"/>
        <v>07</v>
      </c>
      <c r="H285">
        <v>2009</v>
      </c>
      <c r="I285" t="str">
        <f t="shared" si="27"/>
        <v>200907</v>
      </c>
      <c r="J285" t="str">
        <f t="shared" si="29"/>
        <v>https://www.euro-millions.com/results/17-07-2009</v>
      </c>
      <c r="K285" t="str">
        <f t="shared" si="28"/>
        <v>http://lottery.merseyworld.com/Euro/archive/Lott284.html</v>
      </c>
    </row>
    <row r="286" spans="1:11" x14ac:dyDescent="0.25">
      <c r="A286">
        <v>285</v>
      </c>
      <c r="B286" s="2" t="str">
        <f t="shared" si="24"/>
        <v>24-07-2009</v>
      </c>
      <c r="C286" t="s">
        <v>10</v>
      </c>
      <c r="D286">
        <v>24</v>
      </c>
      <c r="E286" t="str">
        <f t="shared" si="25"/>
        <v>24</v>
      </c>
      <c r="F286">
        <v>7</v>
      </c>
      <c r="G286" t="str">
        <f t="shared" si="26"/>
        <v>07</v>
      </c>
      <c r="H286">
        <v>2009</v>
      </c>
      <c r="I286" t="str">
        <f t="shared" si="27"/>
        <v>200907</v>
      </c>
      <c r="J286" t="str">
        <f t="shared" si="29"/>
        <v>https://www.euro-millions.com/results/24-07-2009</v>
      </c>
      <c r="K286" t="str">
        <f t="shared" si="28"/>
        <v>http://lottery.merseyworld.com/Euro/archive/Lott285.html</v>
      </c>
    </row>
    <row r="287" spans="1:11" x14ac:dyDescent="0.25">
      <c r="A287">
        <v>286</v>
      </c>
      <c r="B287" s="2" t="str">
        <f t="shared" si="24"/>
        <v>31-07-2009</v>
      </c>
      <c r="C287" t="s">
        <v>10</v>
      </c>
      <c r="D287">
        <v>31</v>
      </c>
      <c r="E287" t="str">
        <f t="shared" si="25"/>
        <v>31</v>
      </c>
      <c r="F287">
        <v>7</v>
      </c>
      <c r="G287" t="str">
        <f t="shared" si="26"/>
        <v>07</v>
      </c>
      <c r="H287">
        <v>2009</v>
      </c>
      <c r="I287" t="str">
        <f t="shared" si="27"/>
        <v>200907</v>
      </c>
      <c r="J287" t="str">
        <f t="shared" si="29"/>
        <v>https://www.euro-millions.com/results/31-07-2009</v>
      </c>
      <c r="K287" t="str">
        <f t="shared" si="28"/>
        <v>http://lottery.merseyworld.com/Euro/archive/Lott286.html</v>
      </c>
    </row>
    <row r="288" spans="1:11" x14ac:dyDescent="0.25">
      <c r="A288">
        <v>287</v>
      </c>
      <c r="B288" s="2" t="str">
        <f t="shared" si="24"/>
        <v>07-08-2009</v>
      </c>
      <c r="C288" t="s">
        <v>10</v>
      </c>
      <c r="D288">
        <v>7</v>
      </c>
      <c r="E288" t="str">
        <f t="shared" si="25"/>
        <v>07</v>
      </c>
      <c r="F288">
        <v>8</v>
      </c>
      <c r="G288" t="str">
        <f t="shared" si="26"/>
        <v>08</v>
      </c>
      <c r="H288">
        <v>2009</v>
      </c>
      <c r="I288" t="str">
        <f t="shared" si="27"/>
        <v>200908</v>
      </c>
      <c r="J288" t="str">
        <f t="shared" si="29"/>
        <v>https://www.euro-millions.com/results/07-08-2009</v>
      </c>
      <c r="K288" t="str">
        <f t="shared" si="28"/>
        <v>http://lottery.merseyworld.com/Euro/archive/Lott287.html</v>
      </c>
    </row>
    <row r="289" spans="1:11" x14ac:dyDescent="0.25">
      <c r="A289">
        <v>288</v>
      </c>
      <c r="B289" s="2" t="str">
        <f t="shared" si="24"/>
        <v>14-08-2009</v>
      </c>
      <c r="C289" t="s">
        <v>10</v>
      </c>
      <c r="D289">
        <v>14</v>
      </c>
      <c r="E289" t="str">
        <f t="shared" si="25"/>
        <v>14</v>
      </c>
      <c r="F289">
        <v>8</v>
      </c>
      <c r="G289" t="str">
        <f t="shared" si="26"/>
        <v>08</v>
      </c>
      <c r="H289">
        <v>2009</v>
      </c>
      <c r="I289" t="str">
        <f t="shared" si="27"/>
        <v>200908</v>
      </c>
      <c r="J289" t="str">
        <f t="shared" si="29"/>
        <v>https://www.euro-millions.com/results/14-08-2009</v>
      </c>
      <c r="K289" t="str">
        <f t="shared" si="28"/>
        <v>http://lottery.merseyworld.com/Euro/archive/Lott288.html</v>
      </c>
    </row>
    <row r="290" spans="1:11" x14ac:dyDescent="0.25">
      <c r="A290">
        <v>289</v>
      </c>
      <c r="B290" s="2" t="str">
        <f t="shared" si="24"/>
        <v>21-08-2009</v>
      </c>
      <c r="C290" t="s">
        <v>10</v>
      </c>
      <c r="D290">
        <v>21</v>
      </c>
      <c r="E290" t="str">
        <f t="shared" si="25"/>
        <v>21</v>
      </c>
      <c r="F290">
        <v>8</v>
      </c>
      <c r="G290" t="str">
        <f t="shared" si="26"/>
        <v>08</v>
      </c>
      <c r="H290">
        <v>2009</v>
      </c>
      <c r="I290" t="str">
        <f t="shared" si="27"/>
        <v>200908</v>
      </c>
      <c r="J290" t="str">
        <f t="shared" si="29"/>
        <v>https://www.euro-millions.com/results/21-08-2009</v>
      </c>
      <c r="K290" t="str">
        <f t="shared" si="28"/>
        <v>http://lottery.merseyworld.com/Euro/archive/Lott289.html</v>
      </c>
    </row>
    <row r="291" spans="1:11" x14ac:dyDescent="0.25">
      <c r="A291">
        <v>290</v>
      </c>
      <c r="B291" s="2" t="str">
        <f t="shared" si="24"/>
        <v>28-08-2009</v>
      </c>
      <c r="C291" t="s">
        <v>10</v>
      </c>
      <c r="D291">
        <v>28</v>
      </c>
      <c r="E291" t="str">
        <f t="shared" si="25"/>
        <v>28</v>
      </c>
      <c r="F291">
        <v>8</v>
      </c>
      <c r="G291" t="str">
        <f t="shared" si="26"/>
        <v>08</v>
      </c>
      <c r="H291">
        <v>2009</v>
      </c>
      <c r="I291" t="str">
        <f t="shared" si="27"/>
        <v>200908</v>
      </c>
      <c r="J291" t="str">
        <f t="shared" si="29"/>
        <v>https://www.euro-millions.com/results/28-08-2009</v>
      </c>
      <c r="K291" t="str">
        <f t="shared" si="28"/>
        <v>http://lottery.merseyworld.com/Euro/archive/Lott290.html</v>
      </c>
    </row>
    <row r="292" spans="1:11" x14ac:dyDescent="0.25">
      <c r="A292">
        <v>291</v>
      </c>
      <c r="B292" s="2" t="str">
        <f t="shared" si="24"/>
        <v>04-09-2009</v>
      </c>
      <c r="C292" t="s">
        <v>10</v>
      </c>
      <c r="D292">
        <v>4</v>
      </c>
      <c r="E292" t="str">
        <f t="shared" si="25"/>
        <v>04</v>
      </c>
      <c r="F292">
        <v>9</v>
      </c>
      <c r="G292" t="str">
        <f t="shared" si="26"/>
        <v>09</v>
      </c>
      <c r="H292">
        <v>2009</v>
      </c>
      <c r="I292" t="str">
        <f t="shared" si="27"/>
        <v>200909</v>
      </c>
      <c r="J292" t="str">
        <f t="shared" si="29"/>
        <v>https://www.euro-millions.com/results/04-09-2009</v>
      </c>
      <c r="K292" t="str">
        <f t="shared" si="28"/>
        <v>http://lottery.merseyworld.com/Euro/archive/Lott291.html</v>
      </c>
    </row>
    <row r="293" spans="1:11" x14ac:dyDescent="0.25">
      <c r="A293">
        <v>292</v>
      </c>
      <c r="B293" s="2" t="str">
        <f t="shared" si="24"/>
        <v>11-09-2009</v>
      </c>
      <c r="C293" t="s">
        <v>10</v>
      </c>
      <c r="D293">
        <v>11</v>
      </c>
      <c r="E293" t="str">
        <f t="shared" si="25"/>
        <v>11</v>
      </c>
      <c r="F293">
        <v>9</v>
      </c>
      <c r="G293" t="str">
        <f t="shared" si="26"/>
        <v>09</v>
      </c>
      <c r="H293">
        <v>2009</v>
      </c>
      <c r="I293" t="str">
        <f t="shared" si="27"/>
        <v>200909</v>
      </c>
      <c r="J293" t="str">
        <f t="shared" si="29"/>
        <v>https://www.euro-millions.com/results/11-09-2009</v>
      </c>
      <c r="K293" t="str">
        <f t="shared" si="28"/>
        <v>http://lottery.merseyworld.com/Euro/archive/Lott292.html</v>
      </c>
    </row>
    <row r="294" spans="1:11" x14ac:dyDescent="0.25">
      <c r="A294">
        <v>293</v>
      </c>
      <c r="B294" s="2" t="str">
        <f t="shared" si="24"/>
        <v>18-09-2009</v>
      </c>
      <c r="C294" t="s">
        <v>10</v>
      </c>
      <c r="D294">
        <v>18</v>
      </c>
      <c r="E294" t="str">
        <f t="shared" si="25"/>
        <v>18</v>
      </c>
      <c r="F294">
        <v>9</v>
      </c>
      <c r="G294" t="str">
        <f t="shared" si="26"/>
        <v>09</v>
      </c>
      <c r="H294">
        <v>2009</v>
      </c>
      <c r="I294" t="str">
        <f t="shared" si="27"/>
        <v>200909</v>
      </c>
      <c r="J294" t="str">
        <f t="shared" si="29"/>
        <v>https://www.euro-millions.com/results/18-09-2009</v>
      </c>
      <c r="K294" t="str">
        <f t="shared" si="28"/>
        <v>http://lottery.merseyworld.com/Euro/archive/Lott293.html</v>
      </c>
    </row>
    <row r="295" spans="1:11" x14ac:dyDescent="0.25">
      <c r="A295">
        <v>294</v>
      </c>
      <c r="B295" s="2" t="str">
        <f t="shared" si="24"/>
        <v>25-09-2009</v>
      </c>
      <c r="C295" t="s">
        <v>10</v>
      </c>
      <c r="D295">
        <v>25</v>
      </c>
      <c r="E295" t="str">
        <f t="shared" si="25"/>
        <v>25</v>
      </c>
      <c r="F295">
        <v>9</v>
      </c>
      <c r="G295" t="str">
        <f t="shared" si="26"/>
        <v>09</v>
      </c>
      <c r="H295">
        <v>2009</v>
      </c>
      <c r="I295" t="str">
        <f t="shared" si="27"/>
        <v>200909</v>
      </c>
      <c r="J295" t="str">
        <f t="shared" si="29"/>
        <v>https://www.euro-millions.com/results/25-09-2009</v>
      </c>
      <c r="K295" t="str">
        <f t="shared" si="28"/>
        <v>http://lottery.merseyworld.com/Euro/archive/Lott294.html</v>
      </c>
    </row>
    <row r="296" spans="1:11" x14ac:dyDescent="0.25">
      <c r="A296">
        <v>295</v>
      </c>
      <c r="B296" s="2" t="str">
        <f t="shared" si="24"/>
        <v>02-10-2009</v>
      </c>
      <c r="C296" t="s">
        <v>10</v>
      </c>
      <c r="D296">
        <v>2</v>
      </c>
      <c r="E296" t="str">
        <f t="shared" si="25"/>
        <v>02</v>
      </c>
      <c r="F296">
        <v>10</v>
      </c>
      <c r="G296" t="str">
        <f t="shared" si="26"/>
        <v>10</v>
      </c>
      <c r="H296">
        <v>2009</v>
      </c>
      <c r="I296" t="str">
        <f t="shared" si="27"/>
        <v>200910</v>
      </c>
      <c r="J296" t="str">
        <f t="shared" si="29"/>
        <v>https://www.euro-millions.com/results/02-10-2009</v>
      </c>
      <c r="K296" t="str">
        <f t="shared" si="28"/>
        <v>http://lottery.merseyworld.com/Euro/archive/Lott295.html</v>
      </c>
    </row>
    <row r="297" spans="1:11" x14ac:dyDescent="0.25">
      <c r="A297">
        <v>296</v>
      </c>
      <c r="B297" s="2" t="str">
        <f t="shared" si="24"/>
        <v>09-10-2009</v>
      </c>
      <c r="C297" t="s">
        <v>10</v>
      </c>
      <c r="D297">
        <v>9</v>
      </c>
      <c r="E297" t="str">
        <f t="shared" si="25"/>
        <v>09</v>
      </c>
      <c r="F297">
        <v>10</v>
      </c>
      <c r="G297" t="str">
        <f t="shared" si="26"/>
        <v>10</v>
      </c>
      <c r="H297">
        <v>2009</v>
      </c>
      <c r="I297" t="str">
        <f t="shared" si="27"/>
        <v>200910</v>
      </c>
      <c r="J297" t="str">
        <f t="shared" si="29"/>
        <v>https://www.euro-millions.com/results/09-10-2009</v>
      </c>
      <c r="K297" t="str">
        <f t="shared" si="28"/>
        <v>http://lottery.merseyworld.com/Euro/archive/Lott296.html</v>
      </c>
    </row>
    <row r="298" spans="1:11" x14ac:dyDescent="0.25">
      <c r="A298">
        <v>297</v>
      </c>
      <c r="B298" s="2" t="str">
        <f t="shared" si="24"/>
        <v>16-10-2009</v>
      </c>
      <c r="C298" t="s">
        <v>10</v>
      </c>
      <c r="D298">
        <v>16</v>
      </c>
      <c r="E298" t="str">
        <f t="shared" si="25"/>
        <v>16</v>
      </c>
      <c r="F298">
        <v>10</v>
      </c>
      <c r="G298" t="str">
        <f t="shared" si="26"/>
        <v>10</v>
      </c>
      <c r="H298">
        <v>2009</v>
      </c>
      <c r="I298" t="str">
        <f t="shared" si="27"/>
        <v>200910</v>
      </c>
      <c r="J298" t="str">
        <f t="shared" si="29"/>
        <v>https://www.euro-millions.com/results/16-10-2009</v>
      </c>
      <c r="K298" t="str">
        <f t="shared" si="28"/>
        <v>http://lottery.merseyworld.com/Euro/archive/Lott297.html</v>
      </c>
    </row>
    <row r="299" spans="1:11" x14ac:dyDescent="0.25">
      <c r="A299">
        <v>298</v>
      </c>
      <c r="B299" s="2" t="str">
        <f t="shared" si="24"/>
        <v>23-10-2009</v>
      </c>
      <c r="C299" t="s">
        <v>10</v>
      </c>
      <c r="D299">
        <v>23</v>
      </c>
      <c r="E299" t="str">
        <f t="shared" si="25"/>
        <v>23</v>
      </c>
      <c r="F299">
        <v>10</v>
      </c>
      <c r="G299" t="str">
        <f t="shared" si="26"/>
        <v>10</v>
      </c>
      <c r="H299">
        <v>2009</v>
      </c>
      <c r="I299" t="str">
        <f t="shared" si="27"/>
        <v>200910</v>
      </c>
      <c r="J299" t="str">
        <f t="shared" si="29"/>
        <v>https://www.euro-millions.com/results/23-10-2009</v>
      </c>
      <c r="K299" t="str">
        <f t="shared" si="28"/>
        <v>http://lottery.merseyworld.com/Euro/archive/Lott298.html</v>
      </c>
    </row>
    <row r="300" spans="1:11" x14ac:dyDescent="0.25">
      <c r="A300">
        <v>299</v>
      </c>
      <c r="B300" s="2" t="str">
        <f t="shared" si="24"/>
        <v>30-10-2009</v>
      </c>
      <c r="C300" t="s">
        <v>10</v>
      </c>
      <c r="D300">
        <v>30</v>
      </c>
      <c r="E300" t="str">
        <f t="shared" si="25"/>
        <v>30</v>
      </c>
      <c r="F300">
        <v>10</v>
      </c>
      <c r="G300" t="str">
        <f t="shared" si="26"/>
        <v>10</v>
      </c>
      <c r="H300">
        <v>2009</v>
      </c>
      <c r="I300" t="str">
        <f t="shared" si="27"/>
        <v>200910</v>
      </c>
      <c r="J300" t="str">
        <f t="shared" si="29"/>
        <v>https://www.euro-millions.com/results/30-10-2009</v>
      </c>
      <c r="K300" t="str">
        <f t="shared" si="28"/>
        <v>http://lottery.merseyworld.com/Euro/archive/Lott299.html</v>
      </c>
    </row>
    <row r="301" spans="1:11" x14ac:dyDescent="0.25">
      <c r="A301">
        <v>300</v>
      </c>
      <c r="B301" s="2" t="str">
        <f t="shared" si="24"/>
        <v>06-11-2009</v>
      </c>
      <c r="C301" t="s">
        <v>10</v>
      </c>
      <c r="D301">
        <v>6</v>
      </c>
      <c r="E301" t="str">
        <f t="shared" si="25"/>
        <v>06</v>
      </c>
      <c r="F301">
        <v>11</v>
      </c>
      <c r="G301" t="str">
        <f t="shared" si="26"/>
        <v>11</v>
      </c>
      <c r="H301">
        <v>2009</v>
      </c>
      <c r="I301" t="str">
        <f t="shared" si="27"/>
        <v>200911</v>
      </c>
      <c r="J301" t="str">
        <f t="shared" si="29"/>
        <v>https://www.euro-millions.com/results/06-11-2009</v>
      </c>
      <c r="K301" t="str">
        <f t="shared" si="28"/>
        <v>http://lottery.merseyworld.com/Euro/archive/Lott300.html</v>
      </c>
    </row>
    <row r="302" spans="1:11" x14ac:dyDescent="0.25">
      <c r="A302">
        <v>301</v>
      </c>
      <c r="B302" s="2" t="str">
        <f t="shared" si="24"/>
        <v>13-11-2009</v>
      </c>
      <c r="C302" t="s">
        <v>10</v>
      </c>
      <c r="D302">
        <v>13</v>
      </c>
      <c r="E302" t="str">
        <f t="shared" si="25"/>
        <v>13</v>
      </c>
      <c r="F302">
        <v>11</v>
      </c>
      <c r="G302" t="str">
        <f t="shared" si="26"/>
        <v>11</v>
      </c>
      <c r="H302">
        <v>2009</v>
      </c>
      <c r="I302" t="str">
        <f t="shared" si="27"/>
        <v>200911</v>
      </c>
      <c r="J302" t="str">
        <f t="shared" si="29"/>
        <v>https://www.euro-millions.com/results/13-11-2009</v>
      </c>
      <c r="K302" t="str">
        <f t="shared" si="28"/>
        <v>http://lottery.merseyworld.com/Euro/archive/Lott301.html</v>
      </c>
    </row>
    <row r="303" spans="1:11" x14ac:dyDescent="0.25">
      <c r="A303">
        <v>302</v>
      </c>
      <c r="B303" s="2" t="str">
        <f t="shared" si="24"/>
        <v>20-11-2009</v>
      </c>
      <c r="C303" t="s">
        <v>10</v>
      </c>
      <c r="D303">
        <v>20</v>
      </c>
      <c r="E303" t="str">
        <f t="shared" si="25"/>
        <v>20</v>
      </c>
      <c r="F303">
        <v>11</v>
      </c>
      <c r="G303" t="str">
        <f t="shared" si="26"/>
        <v>11</v>
      </c>
      <c r="H303">
        <v>2009</v>
      </c>
      <c r="I303" t="str">
        <f t="shared" si="27"/>
        <v>200911</v>
      </c>
      <c r="J303" t="str">
        <f t="shared" si="29"/>
        <v>https://www.euro-millions.com/results/20-11-2009</v>
      </c>
      <c r="K303" t="str">
        <f t="shared" si="28"/>
        <v>http://lottery.merseyworld.com/Euro/archive/Lott302.html</v>
      </c>
    </row>
    <row r="304" spans="1:11" x14ac:dyDescent="0.25">
      <c r="A304">
        <v>303</v>
      </c>
      <c r="B304" s="2" t="str">
        <f t="shared" si="24"/>
        <v>27-11-2009</v>
      </c>
      <c r="C304" t="s">
        <v>10</v>
      </c>
      <c r="D304">
        <v>27</v>
      </c>
      <c r="E304" t="str">
        <f t="shared" si="25"/>
        <v>27</v>
      </c>
      <c r="F304">
        <v>11</v>
      </c>
      <c r="G304" t="str">
        <f t="shared" si="26"/>
        <v>11</v>
      </c>
      <c r="H304">
        <v>2009</v>
      </c>
      <c r="I304" t="str">
        <f t="shared" si="27"/>
        <v>200911</v>
      </c>
      <c r="J304" t="str">
        <f t="shared" si="29"/>
        <v>https://www.euro-millions.com/results/27-11-2009</v>
      </c>
      <c r="K304" t="str">
        <f t="shared" si="28"/>
        <v>http://lottery.merseyworld.com/Euro/archive/Lott303.html</v>
      </c>
    </row>
    <row r="305" spans="1:11" x14ac:dyDescent="0.25">
      <c r="A305">
        <v>304</v>
      </c>
      <c r="B305" s="2" t="str">
        <f t="shared" si="24"/>
        <v>04-12-2009</v>
      </c>
      <c r="C305" t="s">
        <v>10</v>
      </c>
      <c r="D305">
        <v>4</v>
      </c>
      <c r="E305" t="str">
        <f t="shared" si="25"/>
        <v>04</v>
      </c>
      <c r="F305">
        <v>12</v>
      </c>
      <c r="G305" t="str">
        <f t="shared" si="26"/>
        <v>12</v>
      </c>
      <c r="H305">
        <v>2009</v>
      </c>
      <c r="I305" t="str">
        <f t="shared" si="27"/>
        <v>200912</v>
      </c>
      <c r="J305" t="str">
        <f t="shared" si="29"/>
        <v>https://www.euro-millions.com/results/04-12-2009</v>
      </c>
      <c r="K305" t="str">
        <f t="shared" si="28"/>
        <v>http://lottery.merseyworld.com/Euro/archive/Lott304.html</v>
      </c>
    </row>
    <row r="306" spans="1:11" x14ac:dyDescent="0.25">
      <c r="A306">
        <v>305</v>
      </c>
      <c r="B306" s="2" t="str">
        <f t="shared" si="24"/>
        <v>11-12-2009</v>
      </c>
      <c r="C306" t="s">
        <v>10</v>
      </c>
      <c r="D306">
        <v>11</v>
      </c>
      <c r="E306" t="str">
        <f t="shared" si="25"/>
        <v>11</v>
      </c>
      <c r="F306">
        <v>12</v>
      </c>
      <c r="G306" t="str">
        <f t="shared" si="26"/>
        <v>12</v>
      </c>
      <c r="H306">
        <v>2009</v>
      </c>
      <c r="I306" t="str">
        <f t="shared" si="27"/>
        <v>200912</v>
      </c>
      <c r="J306" t="str">
        <f t="shared" si="29"/>
        <v>https://www.euro-millions.com/results/11-12-2009</v>
      </c>
      <c r="K306" t="str">
        <f t="shared" si="28"/>
        <v>http://lottery.merseyworld.com/Euro/archive/Lott305.html</v>
      </c>
    </row>
    <row r="307" spans="1:11" x14ac:dyDescent="0.25">
      <c r="A307">
        <v>306</v>
      </c>
      <c r="B307" s="2" t="str">
        <f t="shared" si="24"/>
        <v>18-12-2009</v>
      </c>
      <c r="C307" t="s">
        <v>10</v>
      </c>
      <c r="D307">
        <v>18</v>
      </c>
      <c r="E307" t="str">
        <f t="shared" si="25"/>
        <v>18</v>
      </c>
      <c r="F307">
        <v>12</v>
      </c>
      <c r="G307" t="str">
        <f t="shared" si="26"/>
        <v>12</v>
      </c>
      <c r="H307">
        <v>2009</v>
      </c>
      <c r="I307" t="str">
        <f t="shared" si="27"/>
        <v>200912</v>
      </c>
      <c r="J307" t="str">
        <f t="shared" si="29"/>
        <v>https://www.euro-millions.com/results/18-12-2009</v>
      </c>
      <c r="K307" t="str">
        <f t="shared" si="28"/>
        <v>http://lottery.merseyworld.com/Euro/archive/Lott306.html</v>
      </c>
    </row>
    <row r="308" spans="1:11" x14ac:dyDescent="0.25">
      <c r="A308">
        <v>307</v>
      </c>
      <c r="B308" s="2" t="str">
        <f t="shared" si="24"/>
        <v>25-12-2009</v>
      </c>
      <c r="C308" t="s">
        <v>10</v>
      </c>
      <c r="D308">
        <v>25</v>
      </c>
      <c r="E308" t="str">
        <f t="shared" si="25"/>
        <v>25</v>
      </c>
      <c r="F308">
        <v>12</v>
      </c>
      <c r="G308" t="str">
        <f t="shared" si="26"/>
        <v>12</v>
      </c>
      <c r="H308">
        <v>2009</v>
      </c>
      <c r="I308" t="str">
        <f t="shared" si="27"/>
        <v>200912</v>
      </c>
      <c r="J308" t="str">
        <f t="shared" si="29"/>
        <v>https://www.euro-millions.com/results/25-12-2009</v>
      </c>
      <c r="K308" t="str">
        <f t="shared" si="28"/>
        <v>http://lottery.merseyworld.com/Euro/archive/Lott307.html</v>
      </c>
    </row>
    <row r="309" spans="1:11" x14ac:dyDescent="0.25">
      <c r="A309">
        <v>308</v>
      </c>
      <c r="B309" s="2" t="str">
        <f t="shared" si="24"/>
        <v>01-01-2010</v>
      </c>
      <c r="C309" t="s">
        <v>10</v>
      </c>
      <c r="D309">
        <v>1</v>
      </c>
      <c r="E309" t="str">
        <f t="shared" si="25"/>
        <v>01</v>
      </c>
      <c r="F309">
        <v>1</v>
      </c>
      <c r="G309" t="str">
        <f t="shared" si="26"/>
        <v>01</v>
      </c>
      <c r="H309">
        <v>2010</v>
      </c>
      <c r="I309" t="str">
        <f t="shared" si="27"/>
        <v>201001</v>
      </c>
      <c r="J309" t="str">
        <f t="shared" si="29"/>
        <v>https://www.euro-millions.com/results/01-01-2010</v>
      </c>
      <c r="K309" t="str">
        <f t="shared" si="28"/>
        <v>http://lottery.merseyworld.com/Euro/archive/Lott308.html</v>
      </c>
    </row>
    <row r="310" spans="1:11" x14ac:dyDescent="0.25">
      <c r="A310">
        <v>309</v>
      </c>
      <c r="B310" s="2" t="str">
        <f t="shared" si="24"/>
        <v>08-01-2010</v>
      </c>
      <c r="C310" t="s">
        <v>10</v>
      </c>
      <c r="D310">
        <v>8</v>
      </c>
      <c r="E310" t="str">
        <f t="shared" si="25"/>
        <v>08</v>
      </c>
      <c r="F310">
        <v>1</v>
      </c>
      <c r="G310" t="str">
        <f t="shared" si="26"/>
        <v>01</v>
      </c>
      <c r="H310">
        <v>2010</v>
      </c>
      <c r="I310" t="str">
        <f t="shared" si="27"/>
        <v>201001</v>
      </c>
      <c r="J310" t="str">
        <f t="shared" si="29"/>
        <v>https://www.euro-millions.com/results/08-01-2010</v>
      </c>
      <c r="K310" t="str">
        <f t="shared" si="28"/>
        <v>http://lottery.merseyworld.com/Euro/archive/Lott309.html</v>
      </c>
    </row>
    <row r="311" spans="1:11" x14ac:dyDescent="0.25">
      <c r="A311">
        <v>310</v>
      </c>
      <c r="B311" s="2" t="str">
        <f t="shared" si="24"/>
        <v>15-01-2010</v>
      </c>
      <c r="C311" t="s">
        <v>10</v>
      </c>
      <c r="D311">
        <v>15</v>
      </c>
      <c r="E311" t="str">
        <f t="shared" si="25"/>
        <v>15</v>
      </c>
      <c r="F311">
        <v>1</v>
      </c>
      <c r="G311" t="str">
        <f t="shared" si="26"/>
        <v>01</v>
      </c>
      <c r="H311">
        <v>2010</v>
      </c>
      <c r="I311" t="str">
        <f t="shared" si="27"/>
        <v>201001</v>
      </c>
      <c r="J311" t="str">
        <f t="shared" si="29"/>
        <v>https://www.euro-millions.com/results/15-01-2010</v>
      </c>
      <c r="K311" t="str">
        <f t="shared" si="28"/>
        <v>http://lottery.merseyworld.com/Euro/archive/Lott310.html</v>
      </c>
    </row>
    <row r="312" spans="1:11" x14ac:dyDescent="0.25">
      <c r="A312">
        <v>311</v>
      </c>
      <c r="B312" s="2" t="str">
        <f t="shared" si="24"/>
        <v>22-01-2010</v>
      </c>
      <c r="C312" t="s">
        <v>10</v>
      </c>
      <c r="D312">
        <v>22</v>
      </c>
      <c r="E312" t="str">
        <f t="shared" si="25"/>
        <v>22</v>
      </c>
      <c r="F312">
        <v>1</v>
      </c>
      <c r="G312" t="str">
        <f t="shared" si="26"/>
        <v>01</v>
      </c>
      <c r="H312">
        <v>2010</v>
      </c>
      <c r="I312" t="str">
        <f t="shared" si="27"/>
        <v>201001</v>
      </c>
      <c r="J312" t="str">
        <f t="shared" si="29"/>
        <v>https://www.euro-millions.com/results/22-01-2010</v>
      </c>
      <c r="K312" t="str">
        <f t="shared" si="28"/>
        <v>http://lottery.merseyworld.com/Euro/archive/Lott311.html</v>
      </c>
    </row>
    <row r="313" spans="1:11" x14ac:dyDescent="0.25">
      <c r="A313">
        <v>312</v>
      </c>
      <c r="B313" s="2" t="str">
        <f t="shared" si="24"/>
        <v>29-01-2010</v>
      </c>
      <c r="C313" t="s">
        <v>10</v>
      </c>
      <c r="D313">
        <v>29</v>
      </c>
      <c r="E313" t="str">
        <f t="shared" si="25"/>
        <v>29</v>
      </c>
      <c r="F313">
        <v>1</v>
      </c>
      <c r="G313" t="str">
        <f t="shared" si="26"/>
        <v>01</v>
      </c>
      <c r="H313">
        <v>2010</v>
      </c>
      <c r="I313" t="str">
        <f t="shared" si="27"/>
        <v>201001</v>
      </c>
      <c r="J313" t="str">
        <f t="shared" si="29"/>
        <v>https://www.euro-millions.com/results/29-01-2010</v>
      </c>
      <c r="K313" t="str">
        <f t="shared" si="28"/>
        <v>http://lottery.merseyworld.com/Euro/archive/Lott312.html</v>
      </c>
    </row>
    <row r="314" spans="1:11" x14ac:dyDescent="0.25">
      <c r="A314">
        <v>313</v>
      </c>
      <c r="B314" s="2" t="str">
        <f t="shared" si="24"/>
        <v>05-02-2010</v>
      </c>
      <c r="C314" t="s">
        <v>10</v>
      </c>
      <c r="D314">
        <v>5</v>
      </c>
      <c r="E314" t="str">
        <f t="shared" si="25"/>
        <v>05</v>
      </c>
      <c r="F314">
        <v>2</v>
      </c>
      <c r="G314" t="str">
        <f t="shared" si="26"/>
        <v>02</v>
      </c>
      <c r="H314">
        <v>2010</v>
      </c>
      <c r="I314" t="str">
        <f t="shared" si="27"/>
        <v>201002</v>
      </c>
      <c r="J314" t="str">
        <f t="shared" si="29"/>
        <v>https://www.euro-millions.com/results/05-02-2010</v>
      </c>
      <c r="K314" t="str">
        <f t="shared" si="28"/>
        <v>http://lottery.merseyworld.com/Euro/archive/Lott313.html</v>
      </c>
    </row>
    <row r="315" spans="1:11" x14ac:dyDescent="0.25">
      <c r="A315">
        <v>314</v>
      </c>
      <c r="B315" s="2" t="str">
        <f t="shared" si="24"/>
        <v>12-02-2010</v>
      </c>
      <c r="C315" t="s">
        <v>10</v>
      </c>
      <c r="D315">
        <v>12</v>
      </c>
      <c r="E315" t="str">
        <f t="shared" si="25"/>
        <v>12</v>
      </c>
      <c r="F315">
        <v>2</v>
      </c>
      <c r="G315" t="str">
        <f t="shared" si="26"/>
        <v>02</v>
      </c>
      <c r="H315">
        <v>2010</v>
      </c>
      <c r="I315" t="str">
        <f t="shared" si="27"/>
        <v>201002</v>
      </c>
      <c r="J315" t="str">
        <f t="shared" si="29"/>
        <v>https://www.euro-millions.com/results/12-02-2010</v>
      </c>
      <c r="K315" t="str">
        <f t="shared" si="28"/>
        <v>http://lottery.merseyworld.com/Euro/archive/Lott314.html</v>
      </c>
    </row>
    <row r="316" spans="1:11" x14ac:dyDescent="0.25">
      <c r="A316">
        <v>315</v>
      </c>
      <c r="B316" s="2" t="str">
        <f t="shared" si="24"/>
        <v>19-02-2010</v>
      </c>
      <c r="C316" t="s">
        <v>10</v>
      </c>
      <c r="D316">
        <v>19</v>
      </c>
      <c r="E316" t="str">
        <f t="shared" si="25"/>
        <v>19</v>
      </c>
      <c r="F316">
        <v>2</v>
      </c>
      <c r="G316" t="str">
        <f t="shared" si="26"/>
        <v>02</v>
      </c>
      <c r="H316">
        <v>2010</v>
      </c>
      <c r="I316" t="str">
        <f t="shared" si="27"/>
        <v>201002</v>
      </c>
      <c r="J316" t="str">
        <f t="shared" si="29"/>
        <v>https://www.euro-millions.com/results/19-02-2010</v>
      </c>
      <c r="K316" t="str">
        <f t="shared" si="28"/>
        <v>http://lottery.merseyworld.com/Euro/archive/Lott315.html</v>
      </c>
    </row>
    <row r="317" spans="1:11" x14ac:dyDescent="0.25">
      <c r="A317">
        <v>316</v>
      </c>
      <c r="B317" s="2" t="str">
        <f t="shared" si="24"/>
        <v>26-02-2010</v>
      </c>
      <c r="C317" t="s">
        <v>10</v>
      </c>
      <c r="D317">
        <v>26</v>
      </c>
      <c r="E317" t="str">
        <f t="shared" si="25"/>
        <v>26</v>
      </c>
      <c r="F317">
        <v>2</v>
      </c>
      <c r="G317" t="str">
        <f t="shared" si="26"/>
        <v>02</v>
      </c>
      <c r="H317">
        <v>2010</v>
      </c>
      <c r="I317" t="str">
        <f t="shared" si="27"/>
        <v>201002</v>
      </c>
      <c r="J317" t="str">
        <f t="shared" si="29"/>
        <v>https://www.euro-millions.com/results/26-02-2010</v>
      </c>
      <c r="K317" t="str">
        <f t="shared" si="28"/>
        <v>http://lottery.merseyworld.com/Euro/archive/Lott316.html</v>
      </c>
    </row>
    <row r="318" spans="1:11" x14ac:dyDescent="0.25">
      <c r="A318">
        <v>317</v>
      </c>
      <c r="B318" s="2" t="str">
        <f t="shared" si="24"/>
        <v>05-03-2010</v>
      </c>
      <c r="C318" t="s">
        <v>10</v>
      </c>
      <c r="D318">
        <v>5</v>
      </c>
      <c r="E318" t="str">
        <f t="shared" si="25"/>
        <v>05</v>
      </c>
      <c r="F318">
        <v>3</v>
      </c>
      <c r="G318" t="str">
        <f t="shared" si="26"/>
        <v>03</v>
      </c>
      <c r="H318">
        <v>2010</v>
      </c>
      <c r="I318" t="str">
        <f t="shared" si="27"/>
        <v>201003</v>
      </c>
      <c r="J318" t="str">
        <f t="shared" si="29"/>
        <v>https://www.euro-millions.com/results/05-03-2010</v>
      </c>
      <c r="K318" t="str">
        <f t="shared" si="28"/>
        <v>http://lottery.merseyworld.com/Euro/archive/Lott317.html</v>
      </c>
    </row>
    <row r="319" spans="1:11" x14ac:dyDescent="0.25">
      <c r="A319">
        <v>318</v>
      </c>
      <c r="B319" s="2" t="str">
        <f t="shared" si="24"/>
        <v>12-03-2010</v>
      </c>
      <c r="C319" t="s">
        <v>10</v>
      </c>
      <c r="D319">
        <v>12</v>
      </c>
      <c r="E319" t="str">
        <f t="shared" si="25"/>
        <v>12</v>
      </c>
      <c r="F319">
        <v>3</v>
      </c>
      <c r="G319" t="str">
        <f t="shared" si="26"/>
        <v>03</v>
      </c>
      <c r="H319">
        <v>2010</v>
      </c>
      <c r="I319" t="str">
        <f t="shared" si="27"/>
        <v>201003</v>
      </c>
      <c r="J319" t="str">
        <f t="shared" si="29"/>
        <v>https://www.euro-millions.com/results/12-03-2010</v>
      </c>
      <c r="K319" t="str">
        <f t="shared" si="28"/>
        <v>http://lottery.merseyworld.com/Euro/archive/Lott318.html</v>
      </c>
    </row>
    <row r="320" spans="1:11" x14ac:dyDescent="0.25">
      <c r="A320">
        <v>319</v>
      </c>
      <c r="B320" s="2" t="str">
        <f t="shared" si="24"/>
        <v>19-03-2010</v>
      </c>
      <c r="C320" t="s">
        <v>10</v>
      </c>
      <c r="D320">
        <v>19</v>
      </c>
      <c r="E320" t="str">
        <f t="shared" si="25"/>
        <v>19</v>
      </c>
      <c r="F320">
        <v>3</v>
      </c>
      <c r="G320" t="str">
        <f t="shared" si="26"/>
        <v>03</v>
      </c>
      <c r="H320">
        <v>2010</v>
      </c>
      <c r="I320" t="str">
        <f t="shared" si="27"/>
        <v>201003</v>
      </c>
      <c r="J320" t="str">
        <f t="shared" si="29"/>
        <v>https://www.euro-millions.com/results/19-03-2010</v>
      </c>
      <c r="K320" t="str">
        <f t="shared" si="28"/>
        <v>http://lottery.merseyworld.com/Euro/archive/Lott319.html</v>
      </c>
    </row>
    <row r="321" spans="1:11" x14ac:dyDescent="0.25">
      <c r="A321">
        <v>320</v>
      </c>
      <c r="B321" s="2" t="str">
        <f t="shared" si="24"/>
        <v>26-03-2010</v>
      </c>
      <c r="C321" t="s">
        <v>10</v>
      </c>
      <c r="D321">
        <v>26</v>
      </c>
      <c r="E321" t="str">
        <f t="shared" si="25"/>
        <v>26</v>
      </c>
      <c r="F321">
        <v>3</v>
      </c>
      <c r="G321" t="str">
        <f t="shared" si="26"/>
        <v>03</v>
      </c>
      <c r="H321">
        <v>2010</v>
      </c>
      <c r="I321" t="str">
        <f t="shared" si="27"/>
        <v>201003</v>
      </c>
      <c r="J321" t="str">
        <f t="shared" si="29"/>
        <v>https://www.euro-millions.com/results/26-03-2010</v>
      </c>
      <c r="K321" t="str">
        <f t="shared" si="28"/>
        <v>http://lottery.merseyworld.com/Euro/archive/Lott320.html</v>
      </c>
    </row>
    <row r="322" spans="1:11" x14ac:dyDescent="0.25">
      <c r="A322">
        <v>321</v>
      </c>
      <c r="B322" s="2" t="str">
        <f t="shared" si="24"/>
        <v>02-04-2010</v>
      </c>
      <c r="C322" t="s">
        <v>10</v>
      </c>
      <c r="D322">
        <v>2</v>
      </c>
      <c r="E322" t="str">
        <f t="shared" si="25"/>
        <v>02</v>
      </c>
      <c r="F322">
        <v>4</v>
      </c>
      <c r="G322" t="str">
        <f t="shared" si="26"/>
        <v>04</v>
      </c>
      <c r="H322">
        <v>2010</v>
      </c>
      <c r="I322" t="str">
        <f t="shared" si="27"/>
        <v>201004</v>
      </c>
      <c r="J322" t="str">
        <f t="shared" si="29"/>
        <v>https://www.euro-millions.com/results/02-04-2010</v>
      </c>
      <c r="K322" t="str">
        <f t="shared" si="28"/>
        <v>http://lottery.merseyworld.com/Euro/archive/Lott321.html</v>
      </c>
    </row>
    <row r="323" spans="1:11" x14ac:dyDescent="0.25">
      <c r="A323">
        <v>322</v>
      </c>
      <c r="B323" s="2" t="str">
        <f t="shared" ref="B323:B386" si="30">CONCATENATE(E323,"-",G323,"-",H323)</f>
        <v>09-04-2010</v>
      </c>
      <c r="C323" t="s">
        <v>10</v>
      </c>
      <c r="D323">
        <v>9</v>
      </c>
      <c r="E323" t="str">
        <f t="shared" ref="E323:E386" si="31">CONCATENATE(IF(LEN(D323)=1,CONCATENATE("0",D323),D323))</f>
        <v>09</v>
      </c>
      <c r="F323">
        <v>4</v>
      </c>
      <c r="G323" t="str">
        <f t="shared" ref="G323:G386" si="32">CONCATENATE(IF(LEN(F323)=1,CONCATENATE("0",F323),F323))</f>
        <v>04</v>
      </c>
      <c r="H323">
        <v>2010</v>
      </c>
      <c r="I323" t="str">
        <f t="shared" ref="I323:I386" si="33">CONCATENATE(H323,IF(LEN(F323)=1,CONCATENATE("0",F323),F323))</f>
        <v>201004</v>
      </c>
      <c r="J323" t="str">
        <f t="shared" si="29"/>
        <v>https://www.euro-millions.com/results/09-04-2010</v>
      </c>
      <c r="K323" t="str">
        <f t="shared" ref="K323:K386" si="34">CONCATENATE("http://lottery.merseyworld.com/Euro/archive/Lott",RIGHT(CONCATENATE("00",A323),3),".html")</f>
        <v>http://lottery.merseyworld.com/Euro/archive/Lott322.html</v>
      </c>
    </row>
    <row r="324" spans="1:11" x14ac:dyDescent="0.25">
      <c r="A324">
        <v>323</v>
      </c>
      <c r="B324" s="2" t="str">
        <f t="shared" si="30"/>
        <v>16-04-2010</v>
      </c>
      <c r="C324" t="s">
        <v>10</v>
      </c>
      <c r="D324">
        <v>16</v>
      </c>
      <c r="E324" t="str">
        <f t="shared" si="31"/>
        <v>16</v>
      </c>
      <c r="F324">
        <v>4</v>
      </c>
      <c r="G324" t="str">
        <f t="shared" si="32"/>
        <v>04</v>
      </c>
      <c r="H324">
        <v>2010</v>
      </c>
      <c r="I324" t="str">
        <f t="shared" si="33"/>
        <v>201004</v>
      </c>
      <c r="J324" t="str">
        <f t="shared" si="29"/>
        <v>https://www.euro-millions.com/results/16-04-2010</v>
      </c>
      <c r="K324" t="str">
        <f t="shared" si="34"/>
        <v>http://lottery.merseyworld.com/Euro/archive/Lott323.html</v>
      </c>
    </row>
    <row r="325" spans="1:11" x14ac:dyDescent="0.25">
      <c r="A325">
        <v>324</v>
      </c>
      <c r="B325" s="2" t="str">
        <f t="shared" si="30"/>
        <v>23-04-2010</v>
      </c>
      <c r="C325" t="s">
        <v>10</v>
      </c>
      <c r="D325">
        <v>23</v>
      </c>
      <c r="E325" t="str">
        <f t="shared" si="31"/>
        <v>23</v>
      </c>
      <c r="F325">
        <v>4</v>
      </c>
      <c r="G325" t="str">
        <f t="shared" si="32"/>
        <v>04</v>
      </c>
      <c r="H325">
        <v>2010</v>
      </c>
      <c r="I325" t="str">
        <f t="shared" si="33"/>
        <v>201004</v>
      </c>
      <c r="J325" t="str">
        <f t="shared" si="29"/>
        <v>https://www.euro-millions.com/results/23-04-2010</v>
      </c>
      <c r="K325" t="str">
        <f t="shared" si="34"/>
        <v>http://lottery.merseyworld.com/Euro/archive/Lott324.html</v>
      </c>
    </row>
    <row r="326" spans="1:11" x14ac:dyDescent="0.25">
      <c r="A326">
        <v>325</v>
      </c>
      <c r="B326" s="2" t="str">
        <f t="shared" si="30"/>
        <v>30-04-2010</v>
      </c>
      <c r="C326" t="s">
        <v>10</v>
      </c>
      <c r="D326">
        <v>30</v>
      </c>
      <c r="E326" t="str">
        <f t="shared" si="31"/>
        <v>30</v>
      </c>
      <c r="F326">
        <v>4</v>
      </c>
      <c r="G326" t="str">
        <f t="shared" si="32"/>
        <v>04</v>
      </c>
      <c r="H326">
        <v>2010</v>
      </c>
      <c r="I326" t="str">
        <f t="shared" si="33"/>
        <v>201004</v>
      </c>
      <c r="J326" t="str">
        <f t="shared" si="29"/>
        <v>https://www.euro-millions.com/results/30-04-2010</v>
      </c>
      <c r="K326" t="str">
        <f t="shared" si="34"/>
        <v>http://lottery.merseyworld.com/Euro/archive/Lott325.html</v>
      </c>
    </row>
    <row r="327" spans="1:11" x14ac:dyDescent="0.25">
      <c r="A327">
        <v>326</v>
      </c>
      <c r="B327" s="2" t="str">
        <f t="shared" si="30"/>
        <v>07-05-2010</v>
      </c>
      <c r="C327" t="s">
        <v>10</v>
      </c>
      <c r="D327">
        <v>7</v>
      </c>
      <c r="E327" t="str">
        <f t="shared" si="31"/>
        <v>07</v>
      </c>
      <c r="F327">
        <v>5</v>
      </c>
      <c r="G327" t="str">
        <f t="shared" si="32"/>
        <v>05</v>
      </c>
      <c r="H327">
        <v>2010</v>
      </c>
      <c r="I327" t="str">
        <f t="shared" si="33"/>
        <v>201005</v>
      </c>
      <c r="J327" t="str">
        <f t="shared" si="29"/>
        <v>https://www.euro-millions.com/results/07-05-2010</v>
      </c>
      <c r="K327" t="str">
        <f t="shared" si="34"/>
        <v>http://lottery.merseyworld.com/Euro/archive/Lott326.html</v>
      </c>
    </row>
    <row r="328" spans="1:11" x14ac:dyDescent="0.25">
      <c r="A328">
        <v>327</v>
      </c>
      <c r="B328" s="2" t="str">
        <f t="shared" si="30"/>
        <v>14-05-2010</v>
      </c>
      <c r="C328" t="s">
        <v>10</v>
      </c>
      <c r="D328">
        <v>14</v>
      </c>
      <c r="E328" t="str">
        <f t="shared" si="31"/>
        <v>14</v>
      </c>
      <c r="F328">
        <v>5</v>
      </c>
      <c r="G328" t="str">
        <f t="shared" si="32"/>
        <v>05</v>
      </c>
      <c r="H328">
        <v>2010</v>
      </c>
      <c r="I328" t="str">
        <f t="shared" si="33"/>
        <v>201005</v>
      </c>
      <c r="J328" t="str">
        <f t="shared" ref="J328:J391" si="35">CONCATENATE("https://www.euro-millions.com/results/",E328,"-",G328,"-",H328)</f>
        <v>https://www.euro-millions.com/results/14-05-2010</v>
      </c>
      <c r="K328" t="str">
        <f t="shared" si="34"/>
        <v>http://lottery.merseyworld.com/Euro/archive/Lott327.html</v>
      </c>
    </row>
    <row r="329" spans="1:11" x14ac:dyDescent="0.25">
      <c r="A329">
        <v>328</v>
      </c>
      <c r="B329" s="2" t="str">
        <f t="shared" si="30"/>
        <v>21-05-2010</v>
      </c>
      <c r="C329" t="s">
        <v>10</v>
      </c>
      <c r="D329">
        <v>21</v>
      </c>
      <c r="E329" t="str">
        <f t="shared" si="31"/>
        <v>21</v>
      </c>
      <c r="F329">
        <v>5</v>
      </c>
      <c r="G329" t="str">
        <f t="shared" si="32"/>
        <v>05</v>
      </c>
      <c r="H329">
        <v>2010</v>
      </c>
      <c r="I329" t="str">
        <f t="shared" si="33"/>
        <v>201005</v>
      </c>
      <c r="J329" t="str">
        <f t="shared" si="35"/>
        <v>https://www.euro-millions.com/results/21-05-2010</v>
      </c>
      <c r="K329" t="str">
        <f t="shared" si="34"/>
        <v>http://lottery.merseyworld.com/Euro/archive/Lott328.html</v>
      </c>
    </row>
    <row r="330" spans="1:11" x14ac:dyDescent="0.25">
      <c r="A330">
        <v>329</v>
      </c>
      <c r="B330" s="2" t="str">
        <f t="shared" si="30"/>
        <v>28-05-2010</v>
      </c>
      <c r="C330" t="s">
        <v>10</v>
      </c>
      <c r="D330">
        <v>28</v>
      </c>
      <c r="E330" t="str">
        <f t="shared" si="31"/>
        <v>28</v>
      </c>
      <c r="F330">
        <v>5</v>
      </c>
      <c r="G330" t="str">
        <f t="shared" si="32"/>
        <v>05</v>
      </c>
      <c r="H330">
        <v>2010</v>
      </c>
      <c r="I330" t="str">
        <f t="shared" si="33"/>
        <v>201005</v>
      </c>
      <c r="J330" t="str">
        <f t="shared" si="35"/>
        <v>https://www.euro-millions.com/results/28-05-2010</v>
      </c>
      <c r="K330" t="str">
        <f t="shared" si="34"/>
        <v>http://lottery.merseyworld.com/Euro/archive/Lott329.html</v>
      </c>
    </row>
    <row r="331" spans="1:11" x14ac:dyDescent="0.25">
      <c r="A331">
        <v>330</v>
      </c>
      <c r="B331" s="2" t="str">
        <f t="shared" si="30"/>
        <v>04-06-2010</v>
      </c>
      <c r="C331" t="s">
        <v>10</v>
      </c>
      <c r="D331">
        <v>4</v>
      </c>
      <c r="E331" t="str">
        <f t="shared" si="31"/>
        <v>04</v>
      </c>
      <c r="F331">
        <v>6</v>
      </c>
      <c r="G331" t="str">
        <f t="shared" si="32"/>
        <v>06</v>
      </c>
      <c r="H331">
        <v>2010</v>
      </c>
      <c r="I331" t="str">
        <f t="shared" si="33"/>
        <v>201006</v>
      </c>
      <c r="J331" t="str">
        <f t="shared" si="35"/>
        <v>https://www.euro-millions.com/results/04-06-2010</v>
      </c>
      <c r="K331" t="str">
        <f t="shared" si="34"/>
        <v>http://lottery.merseyworld.com/Euro/archive/Lott330.html</v>
      </c>
    </row>
    <row r="332" spans="1:11" x14ac:dyDescent="0.25">
      <c r="A332">
        <v>331</v>
      </c>
      <c r="B332" s="2" t="str">
        <f t="shared" si="30"/>
        <v>11-06-2010</v>
      </c>
      <c r="C332" t="s">
        <v>10</v>
      </c>
      <c r="D332">
        <v>11</v>
      </c>
      <c r="E332" t="str">
        <f t="shared" si="31"/>
        <v>11</v>
      </c>
      <c r="F332">
        <v>6</v>
      </c>
      <c r="G332" t="str">
        <f t="shared" si="32"/>
        <v>06</v>
      </c>
      <c r="H332">
        <v>2010</v>
      </c>
      <c r="I332" t="str">
        <f t="shared" si="33"/>
        <v>201006</v>
      </c>
      <c r="J332" t="str">
        <f t="shared" si="35"/>
        <v>https://www.euro-millions.com/results/11-06-2010</v>
      </c>
      <c r="K332" t="str">
        <f t="shared" si="34"/>
        <v>http://lottery.merseyworld.com/Euro/archive/Lott331.html</v>
      </c>
    </row>
    <row r="333" spans="1:11" x14ac:dyDescent="0.25">
      <c r="A333">
        <v>332</v>
      </c>
      <c r="B333" s="2" t="str">
        <f t="shared" si="30"/>
        <v>18-06-2010</v>
      </c>
      <c r="C333" t="s">
        <v>10</v>
      </c>
      <c r="D333">
        <v>18</v>
      </c>
      <c r="E333" t="str">
        <f t="shared" si="31"/>
        <v>18</v>
      </c>
      <c r="F333">
        <v>6</v>
      </c>
      <c r="G333" t="str">
        <f t="shared" si="32"/>
        <v>06</v>
      </c>
      <c r="H333">
        <v>2010</v>
      </c>
      <c r="I333" t="str">
        <f t="shared" si="33"/>
        <v>201006</v>
      </c>
      <c r="J333" t="str">
        <f t="shared" si="35"/>
        <v>https://www.euro-millions.com/results/18-06-2010</v>
      </c>
      <c r="K333" t="str">
        <f t="shared" si="34"/>
        <v>http://lottery.merseyworld.com/Euro/archive/Lott332.html</v>
      </c>
    </row>
    <row r="334" spans="1:11" x14ac:dyDescent="0.25">
      <c r="A334">
        <v>333</v>
      </c>
      <c r="B334" s="2" t="str">
        <f t="shared" si="30"/>
        <v>25-06-2010</v>
      </c>
      <c r="C334" t="s">
        <v>10</v>
      </c>
      <c r="D334">
        <v>25</v>
      </c>
      <c r="E334" t="str">
        <f t="shared" si="31"/>
        <v>25</v>
      </c>
      <c r="F334">
        <v>6</v>
      </c>
      <c r="G334" t="str">
        <f t="shared" si="32"/>
        <v>06</v>
      </c>
      <c r="H334">
        <v>2010</v>
      </c>
      <c r="I334" t="str">
        <f t="shared" si="33"/>
        <v>201006</v>
      </c>
      <c r="J334" t="str">
        <f t="shared" si="35"/>
        <v>https://www.euro-millions.com/results/25-06-2010</v>
      </c>
      <c r="K334" t="str">
        <f t="shared" si="34"/>
        <v>http://lottery.merseyworld.com/Euro/archive/Lott333.html</v>
      </c>
    </row>
    <row r="335" spans="1:11" x14ac:dyDescent="0.25">
      <c r="A335">
        <v>334</v>
      </c>
      <c r="B335" s="2" t="str">
        <f t="shared" si="30"/>
        <v>02-07-2010</v>
      </c>
      <c r="C335" t="s">
        <v>10</v>
      </c>
      <c r="D335">
        <v>2</v>
      </c>
      <c r="E335" t="str">
        <f t="shared" si="31"/>
        <v>02</v>
      </c>
      <c r="F335">
        <v>7</v>
      </c>
      <c r="G335" t="str">
        <f t="shared" si="32"/>
        <v>07</v>
      </c>
      <c r="H335">
        <v>2010</v>
      </c>
      <c r="I335" t="str">
        <f t="shared" si="33"/>
        <v>201007</v>
      </c>
      <c r="J335" t="str">
        <f t="shared" si="35"/>
        <v>https://www.euro-millions.com/results/02-07-2010</v>
      </c>
      <c r="K335" t="str">
        <f t="shared" si="34"/>
        <v>http://lottery.merseyworld.com/Euro/archive/Lott334.html</v>
      </c>
    </row>
    <row r="336" spans="1:11" x14ac:dyDescent="0.25">
      <c r="A336">
        <v>335</v>
      </c>
      <c r="B336" s="2" t="str">
        <f t="shared" si="30"/>
        <v>09-07-2010</v>
      </c>
      <c r="C336" t="s">
        <v>10</v>
      </c>
      <c r="D336">
        <v>9</v>
      </c>
      <c r="E336" t="str">
        <f t="shared" si="31"/>
        <v>09</v>
      </c>
      <c r="F336">
        <v>7</v>
      </c>
      <c r="G336" t="str">
        <f t="shared" si="32"/>
        <v>07</v>
      </c>
      <c r="H336">
        <v>2010</v>
      </c>
      <c r="I336" t="str">
        <f t="shared" si="33"/>
        <v>201007</v>
      </c>
      <c r="J336" t="str">
        <f t="shared" si="35"/>
        <v>https://www.euro-millions.com/results/09-07-2010</v>
      </c>
      <c r="K336" t="str">
        <f t="shared" si="34"/>
        <v>http://lottery.merseyworld.com/Euro/archive/Lott335.html</v>
      </c>
    </row>
    <row r="337" spans="1:11" x14ac:dyDescent="0.25">
      <c r="A337">
        <v>336</v>
      </c>
      <c r="B337" s="2" t="str">
        <f t="shared" si="30"/>
        <v>16-07-2010</v>
      </c>
      <c r="C337" t="s">
        <v>10</v>
      </c>
      <c r="D337">
        <v>16</v>
      </c>
      <c r="E337" t="str">
        <f t="shared" si="31"/>
        <v>16</v>
      </c>
      <c r="F337">
        <v>7</v>
      </c>
      <c r="G337" t="str">
        <f t="shared" si="32"/>
        <v>07</v>
      </c>
      <c r="H337">
        <v>2010</v>
      </c>
      <c r="I337" t="str">
        <f t="shared" si="33"/>
        <v>201007</v>
      </c>
      <c r="J337" t="str">
        <f t="shared" si="35"/>
        <v>https://www.euro-millions.com/results/16-07-2010</v>
      </c>
      <c r="K337" t="str">
        <f t="shared" si="34"/>
        <v>http://lottery.merseyworld.com/Euro/archive/Lott336.html</v>
      </c>
    </row>
    <row r="338" spans="1:11" x14ac:dyDescent="0.25">
      <c r="A338">
        <v>337</v>
      </c>
      <c r="B338" s="2" t="str">
        <f t="shared" si="30"/>
        <v>23-07-2010</v>
      </c>
      <c r="C338" t="s">
        <v>10</v>
      </c>
      <c r="D338">
        <v>23</v>
      </c>
      <c r="E338" t="str">
        <f t="shared" si="31"/>
        <v>23</v>
      </c>
      <c r="F338">
        <v>7</v>
      </c>
      <c r="G338" t="str">
        <f t="shared" si="32"/>
        <v>07</v>
      </c>
      <c r="H338">
        <v>2010</v>
      </c>
      <c r="I338" t="str">
        <f t="shared" si="33"/>
        <v>201007</v>
      </c>
      <c r="J338" t="str">
        <f t="shared" si="35"/>
        <v>https://www.euro-millions.com/results/23-07-2010</v>
      </c>
      <c r="K338" t="str">
        <f t="shared" si="34"/>
        <v>http://lottery.merseyworld.com/Euro/archive/Lott337.html</v>
      </c>
    </row>
    <row r="339" spans="1:11" x14ac:dyDescent="0.25">
      <c r="A339">
        <v>338</v>
      </c>
      <c r="B339" s="2" t="str">
        <f t="shared" si="30"/>
        <v>30-07-2010</v>
      </c>
      <c r="C339" t="s">
        <v>10</v>
      </c>
      <c r="D339">
        <v>30</v>
      </c>
      <c r="E339" t="str">
        <f t="shared" si="31"/>
        <v>30</v>
      </c>
      <c r="F339">
        <v>7</v>
      </c>
      <c r="G339" t="str">
        <f t="shared" si="32"/>
        <v>07</v>
      </c>
      <c r="H339">
        <v>2010</v>
      </c>
      <c r="I339" t="str">
        <f t="shared" si="33"/>
        <v>201007</v>
      </c>
      <c r="J339" t="str">
        <f t="shared" si="35"/>
        <v>https://www.euro-millions.com/results/30-07-2010</v>
      </c>
      <c r="K339" t="str">
        <f t="shared" si="34"/>
        <v>http://lottery.merseyworld.com/Euro/archive/Lott338.html</v>
      </c>
    </row>
    <row r="340" spans="1:11" x14ac:dyDescent="0.25">
      <c r="A340">
        <v>339</v>
      </c>
      <c r="B340" s="2" t="str">
        <f t="shared" si="30"/>
        <v>06-08-2010</v>
      </c>
      <c r="C340" t="s">
        <v>10</v>
      </c>
      <c r="D340">
        <v>6</v>
      </c>
      <c r="E340" t="str">
        <f t="shared" si="31"/>
        <v>06</v>
      </c>
      <c r="F340">
        <v>8</v>
      </c>
      <c r="G340" t="str">
        <f t="shared" si="32"/>
        <v>08</v>
      </c>
      <c r="H340">
        <v>2010</v>
      </c>
      <c r="I340" t="str">
        <f t="shared" si="33"/>
        <v>201008</v>
      </c>
      <c r="J340" t="str">
        <f t="shared" si="35"/>
        <v>https://www.euro-millions.com/results/06-08-2010</v>
      </c>
      <c r="K340" t="str">
        <f t="shared" si="34"/>
        <v>http://lottery.merseyworld.com/Euro/archive/Lott339.html</v>
      </c>
    </row>
    <row r="341" spans="1:11" x14ac:dyDescent="0.25">
      <c r="A341">
        <v>340</v>
      </c>
      <c r="B341" s="2" t="str">
        <f t="shared" si="30"/>
        <v>13-08-2010</v>
      </c>
      <c r="C341" t="s">
        <v>10</v>
      </c>
      <c r="D341">
        <v>13</v>
      </c>
      <c r="E341" t="str">
        <f t="shared" si="31"/>
        <v>13</v>
      </c>
      <c r="F341">
        <v>8</v>
      </c>
      <c r="G341" t="str">
        <f t="shared" si="32"/>
        <v>08</v>
      </c>
      <c r="H341">
        <v>2010</v>
      </c>
      <c r="I341" t="str">
        <f t="shared" si="33"/>
        <v>201008</v>
      </c>
      <c r="J341" t="str">
        <f t="shared" si="35"/>
        <v>https://www.euro-millions.com/results/13-08-2010</v>
      </c>
      <c r="K341" t="str">
        <f t="shared" si="34"/>
        <v>http://lottery.merseyworld.com/Euro/archive/Lott340.html</v>
      </c>
    </row>
    <row r="342" spans="1:11" x14ac:dyDescent="0.25">
      <c r="A342">
        <v>341</v>
      </c>
      <c r="B342" s="2" t="str">
        <f t="shared" si="30"/>
        <v>20-08-2010</v>
      </c>
      <c r="C342" t="s">
        <v>10</v>
      </c>
      <c r="D342">
        <v>20</v>
      </c>
      <c r="E342" t="str">
        <f t="shared" si="31"/>
        <v>20</v>
      </c>
      <c r="F342">
        <v>8</v>
      </c>
      <c r="G342" t="str">
        <f t="shared" si="32"/>
        <v>08</v>
      </c>
      <c r="H342">
        <v>2010</v>
      </c>
      <c r="I342" t="str">
        <f t="shared" si="33"/>
        <v>201008</v>
      </c>
      <c r="J342" t="str">
        <f t="shared" si="35"/>
        <v>https://www.euro-millions.com/results/20-08-2010</v>
      </c>
      <c r="K342" t="str">
        <f t="shared" si="34"/>
        <v>http://lottery.merseyworld.com/Euro/archive/Lott341.html</v>
      </c>
    </row>
    <row r="343" spans="1:11" x14ac:dyDescent="0.25">
      <c r="A343">
        <v>342</v>
      </c>
      <c r="B343" s="2" t="str">
        <f t="shared" si="30"/>
        <v>27-08-2010</v>
      </c>
      <c r="C343" t="s">
        <v>10</v>
      </c>
      <c r="D343">
        <v>27</v>
      </c>
      <c r="E343" t="str">
        <f t="shared" si="31"/>
        <v>27</v>
      </c>
      <c r="F343">
        <v>8</v>
      </c>
      <c r="G343" t="str">
        <f t="shared" si="32"/>
        <v>08</v>
      </c>
      <c r="H343">
        <v>2010</v>
      </c>
      <c r="I343" t="str">
        <f t="shared" si="33"/>
        <v>201008</v>
      </c>
      <c r="J343" t="str">
        <f t="shared" si="35"/>
        <v>https://www.euro-millions.com/results/27-08-2010</v>
      </c>
      <c r="K343" t="str">
        <f t="shared" si="34"/>
        <v>http://lottery.merseyworld.com/Euro/archive/Lott342.html</v>
      </c>
    </row>
    <row r="344" spans="1:11" x14ac:dyDescent="0.25">
      <c r="A344">
        <v>343</v>
      </c>
      <c r="B344" s="2" t="str">
        <f t="shared" si="30"/>
        <v>03-09-2010</v>
      </c>
      <c r="C344" t="s">
        <v>10</v>
      </c>
      <c r="D344">
        <v>3</v>
      </c>
      <c r="E344" t="str">
        <f t="shared" si="31"/>
        <v>03</v>
      </c>
      <c r="F344">
        <v>9</v>
      </c>
      <c r="G344" t="str">
        <f t="shared" si="32"/>
        <v>09</v>
      </c>
      <c r="H344">
        <v>2010</v>
      </c>
      <c r="I344" t="str">
        <f t="shared" si="33"/>
        <v>201009</v>
      </c>
      <c r="J344" t="str">
        <f t="shared" si="35"/>
        <v>https://www.euro-millions.com/results/03-09-2010</v>
      </c>
      <c r="K344" t="str">
        <f t="shared" si="34"/>
        <v>http://lottery.merseyworld.com/Euro/archive/Lott343.html</v>
      </c>
    </row>
    <row r="345" spans="1:11" x14ac:dyDescent="0.25">
      <c r="A345">
        <v>344</v>
      </c>
      <c r="B345" s="2" t="str">
        <f t="shared" si="30"/>
        <v>10-09-2010</v>
      </c>
      <c r="C345" t="s">
        <v>10</v>
      </c>
      <c r="D345">
        <v>10</v>
      </c>
      <c r="E345" t="str">
        <f t="shared" si="31"/>
        <v>10</v>
      </c>
      <c r="F345">
        <v>9</v>
      </c>
      <c r="G345" t="str">
        <f t="shared" si="32"/>
        <v>09</v>
      </c>
      <c r="H345">
        <v>2010</v>
      </c>
      <c r="I345" t="str">
        <f t="shared" si="33"/>
        <v>201009</v>
      </c>
      <c r="J345" t="str">
        <f t="shared" si="35"/>
        <v>https://www.euro-millions.com/results/10-09-2010</v>
      </c>
      <c r="K345" t="str">
        <f t="shared" si="34"/>
        <v>http://lottery.merseyworld.com/Euro/archive/Lott344.html</v>
      </c>
    </row>
    <row r="346" spans="1:11" x14ac:dyDescent="0.25">
      <c r="A346">
        <v>345</v>
      </c>
      <c r="B346" s="2" t="str">
        <f t="shared" si="30"/>
        <v>17-09-2010</v>
      </c>
      <c r="C346" t="s">
        <v>10</v>
      </c>
      <c r="D346">
        <v>17</v>
      </c>
      <c r="E346" t="str">
        <f t="shared" si="31"/>
        <v>17</v>
      </c>
      <c r="F346">
        <v>9</v>
      </c>
      <c r="G346" t="str">
        <f t="shared" si="32"/>
        <v>09</v>
      </c>
      <c r="H346">
        <v>2010</v>
      </c>
      <c r="I346" t="str">
        <f t="shared" si="33"/>
        <v>201009</v>
      </c>
      <c r="J346" t="str">
        <f t="shared" si="35"/>
        <v>https://www.euro-millions.com/results/17-09-2010</v>
      </c>
      <c r="K346" t="str">
        <f t="shared" si="34"/>
        <v>http://lottery.merseyworld.com/Euro/archive/Lott345.html</v>
      </c>
    </row>
    <row r="347" spans="1:11" x14ac:dyDescent="0.25">
      <c r="A347">
        <v>346</v>
      </c>
      <c r="B347" s="2" t="str">
        <f t="shared" si="30"/>
        <v>24-09-2010</v>
      </c>
      <c r="C347" t="s">
        <v>10</v>
      </c>
      <c r="D347">
        <v>24</v>
      </c>
      <c r="E347" t="str">
        <f t="shared" si="31"/>
        <v>24</v>
      </c>
      <c r="F347">
        <v>9</v>
      </c>
      <c r="G347" t="str">
        <f t="shared" si="32"/>
        <v>09</v>
      </c>
      <c r="H347">
        <v>2010</v>
      </c>
      <c r="I347" t="str">
        <f t="shared" si="33"/>
        <v>201009</v>
      </c>
      <c r="J347" t="str">
        <f t="shared" si="35"/>
        <v>https://www.euro-millions.com/results/24-09-2010</v>
      </c>
      <c r="K347" t="str">
        <f t="shared" si="34"/>
        <v>http://lottery.merseyworld.com/Euro/archive/Lott346.html</v>
      </c>
    </row>
    <row r="348" spans="1:11" x14ac:dyDescent="0.25">
      <c r="A348">
        <v>347</v>
      </c>
      <c r="B348" s="2" t="str">
        <f t="shared" si="30"/>
        <v>01-10-2010</v>
      </c>
      <c r="C348" t="s">
        <v>10</v>
      </c>
      <c r="D348">
        <v>1</v>
      </c>
      <c r="E348" t="str">
        <f t="shared" si="31"/>
        <v>01</v>
      </c>
      <c r="F348">
        <v>10</v>
      </c>
      <c r="G348" t="str">
        <f t="shared" si="32"/>
        <v>10</v>
      </c>
      <c r="H348">
        <v>2010</v>
      </c>
      <c r="I348" t="str">
        <f t="shared" si="33"/>
        <v>201010</v>
      </c>
      <c r="J348" t="str">
        <f t="shared" si="35"/>
        <v>https://www.euro-millions.com/results/01-10-2010</v>
      </c>
      <c r="K348" t="str">
        <f t="shared" si="34"/>
        <v>http://lottery.merseyworld.com/Euro/archive/Lott347.html</v>
      </c>
    </row>
    <row r="349" spans="1:11" x14ac:dyDescent="0.25">
      <c r="A349">
        <v>348</v>
      </c>
      <c r="B349" s="2" t="str">
        <f t="shared" si="30"/>
        <v>08-10-2010</v>
      </c>
      <c r="C349" t="s">
        <v>10</v>
      </c>
      <c r="D349">
        <v>8</v>
      </c>
      <c r="E349" t="str">
        <f t="shared" si="31"/>
        <v>08</v>
      </c>
      <c r="F349">
        <v>10</v>
      </c>
      <c r="G349" t="str">
        <f t="shared" si="32"/>
        <v>10</v>
      </c>
      <c r="H349">
        <v>2010</v>
      </c>
      <c r="I349" t="str">
        <f t="shared" si="33"/>
        <v>201010</v>
      </c>
      <c r="J349" t="str">
        <f t="shared" si="35"/>
        <v>https://www.euro-millions.com/results/08-10-2010</v>
      </c>
      <c r="K349" t="str">
        <f t="shared" si="34"/>
        <v>http://lottery.merseyworld.com/Euro/archive/Lott348.html</v>
      </c>
    </row>
    <row r="350" spans="1:11" x14ac:dyDescent="0.25">
      <c r="A350">
        <v>349</v>
      </c>
      <c r="B350" s="2" t="str">
        <f t="shared" si="30"/>
        <v>15-10-2010</v>
      </c>
      <c r="C350" t="s">
        <v>10</v>
      </c>
      <c r="D350">
        <v>15</v>
      </c>
      <c r="E350" t="str">
        <f t="shared" si="31"/>
        <v>15</v>
      </c>
      <c r="F350">
        <v>10</v>
      </c>
      <c r="G350" t="str">
        <f t="shared" si="32"/>
        <v>10</v>
      </c>
      <c r="H350">
        <v>2010</v>
      </c>
      <c r="I350" t="str">
        <f t="shared" si="33"/>
        <v>201010</v>
      </c>
      <c r="J350" t="str">
        <f t="shared" si="35"/>
        <v>https://www.euro-millions.com/results/15-10-2010</v>
      </c>
      <c r="K350" t="str">
        <f t="shared" si="34"/>
        <v>http://lottery.merseyworld.com/Euro/archive/Lott349.html</v>
      </c>
    </row>
    <row r="351" spans="1:11" x14ac:dyDescent="0.25">
      <c r="A351">
        <v>350</v>
      </c>
      <c r="B351" s="2" t="str">
        <f t="shared" si="30"/>
        <v>22-10-2010</v>
      </c>
      <c r="C351" t="s">
        <v>10</v>
      </c>
      <c r="D351">
        <v>22</v>
      </c>
      <c r="E351" t="str">
        <f t="shared" si="31"/>
        <v>22</v>
      </c>
      <c r="F351">
        <v>10</v>
      </c>
      <c r="G351" t="str">
        <f t="shared" si="32"/>
        <v>10</v>
      </c>
      <c r="H351">
        <v>2010</v>
      </c>
      <c r="I351" t="str">
        <f t="shared" si="33"/>
        <v>201010</v>
      </c>
      <c r="J351" t="str">
        <f t="shared" si="35"/>
        <v>https://www.euro-millions.com/results/22-10-2010</v>
      </c>
      <c r="K351" t="str">
        <f t="shared" si="34"/>
        <v>http://lottery.merseyworld.com/Euro/archive/Lott350.html</v>
      </c>
    </row>
    <row r="352" spans="1:11" x14ac:dyDescent="0.25">
      <c r="A352">
        <v>351</v>
      </c>
      <c r="B352" s="2" t="str">
        <f t="shared" si="30"/>
        <v>29-10-2010</v>
      </c>
      <c r="C352" t="s">
        <v>10</v>
      </c>
      <c r="D352">
        <v>29</v>
      </c>
      <c r="E352" t="str">
        <f t="shared" si="31"/>
        <v>29</v>
      </c>
      <c r="F352">
        <v>10</v>
      </c>
      <c r="G352" t="str">
        <f t="shared" si="32"/>
        <v>10</v>
      </c>
      <c r="H352">
        <v>2010</v>
      </c>
      <c r="I352" t="str">
        <f t="shared" si="33"/>
        <v>201010</v>
      </c>
      <c r="J352" t="str">
        <f t="shared" si="35"/>
        <v>https://www.euro-millions.com/results/29-10-2010</v>
      </c>
      <c r="K352" t="str">
        <f t="shared" si="34"/>
        <v>http://lottery.merseyworld.com/Euro/archive/Lott351.html</v>
      </c>
    </row>
    <row r="353" spans="1:11" x14ac:dyDescent="0.25">
      <c r="A353">
        <v>352</v>
      </c>
      <c r="B353" s="2" t="str">
        <f t="shared" si="30"/>
        <v>05-11-2010</v>
      </c>
      <c r="C353" t="s">
        <v>10</v>
      </c>
      <c r="D353">
        <v>5</v>
      </c>
      <c r="E353" t="str">
        <f t="shared" si="31"/>
        <v>05</v>
      </c>
      <c r="F353">
        <v>11</v>
      </c>
      <c r="G353" t="str">
        <f t="shared" si="32"/>
        <v>11</v>
      </c>
      <c r="H353">
        <v>2010</v>
      </c>
      <c r="I353" t="str">
        <f t="shared" si="33"/>
        <v>201011</v>
      </c>
      <c r="J353" t="str">
        <f t="shared" si="35"/>
        <v>https://www.euro-millions.com/results/05-11-2010</v>
      </c>
      <c r="K353" t="str">
        <f t="shared" si="34"/>
        <v>http://lottery.merseyworld.com/Euro/archive/Lott352.html</v>
      </c>
    </row>
    <row r="354" spans="1:11" x14ac:dyDescent="0.25">
      <c r="A354">
        <v>353</v>
      </c>
      <c r="B354" s="2" t="str">
        <f t="shared" si="30"/>
        <v>12-11-2010</v>
      </c>
      <c r="C354" t="s">
        <v>10</v>
      </c>
      <c r="D354">
        <v>12</v>
      </c>
      <c r="E354" t="str">
        <f t="shared" si="31"/>
        <v>12</v>
      </c>
      <c r="F354">
        <v>11</v>
      </c>
      <c r="G354" t="str">
        <f t="shared" si="32"/>
        <v>11</v>
      </c>
      <c r="H354">
        <v>2010</v>
      </c>
      <c r="I354" t="str">
        <f t="shared" si="33"/>
        <v>201011</v>
      </c>
      <c r="J354" t="str">
        <f t="shared" si="35"/>
        <v>https://www.euro-millions.com/results/12-11-2010</v>
      </c>
      <c r="K354" t="str">
        <f t="shared" si="34"/>
        <v>http://lottery.merseyworld.com/Euro/archive/Lott353.html</v>
      </c>
    </row>
    <row r="355" spans="1:11" x14ac:dyDescent="0.25">
      <c r="A355">
        <v>354</v>
      </c>
      <c r="B355" s="2" t="str">
        <f t="shared" si="30"/>
        <v>19-11-2010</v>
      </c>
      <c r="C355" t="s">
        <v>10</v>
      </c>
      <c r="D355">
        <v>19</v>
      </c>
      <c r="E355" t="str">
        <f t="shared" si="31"/>
        <v>19</v>
      </c>
      <c r="F355">
        <v>11</v>
      </c>
      <c r="G355" t="str">
        <f t="shared" si="32"/>
        <v>11</v>
      </c>
      <c r="H355">
        <v>2010</v>
      </c>
      <c r="I355" t="str">
        <f t="shared" si="33"/>
        <v>201011</v>
      </c>
      <c r="J355" t="str">
        <f t="shared" si="35"/>
        <v>https://www.euro-millions.com/results/19-11-2010</v>
      </c>
      <c r="K355" t="str">
        <f t="shared" si="34"/>
        <v>http://lottery.merseyworld.com/Euro/archive/Lott354.html</v>
      </c>
    </row>
    <row r="356" spans="1:11" x14ac:dyDescent="0.25">
      <c r="A356">
        <v>355</v>
      </c>
      <c r="B356" s="2" t="str">
        <f t="shared" si="30"/>
        <v>26-11-2010</v>
      </c>
      <c r="C356" t="s">
        <v>10</v>
      </c>
      <c r="D356">
        <v>26</v>
      </c>
      <c r="E356" t="str">
        <f t="shared" si="31"/>
        <v>26</v>
      </c>
      <c r="F356">
        <v>11</v>
      </c>
      <c r="G356" t="str">
        <f t="shared" si="32"/>
        <v>11</v>
      </c>
      <c r="H356">
        <v>2010</v>
      </c>
      <c r="I356" t="str">
        <f t="shared" si="33"/>
        <v>201011</v>
      </c>
      <c r="J356" t="str">
        <f t="shared" si="35"/>
        <v>https://www.euro-millions.com/results/26-11-2010</v>
      </c>
      <c r="K356" t="str">
        <f t="shared" si="34"/>
        <v>http://lottery.merseyworld.com/Euro/archive/Lott355.html</v>
      </c>
    </row>
    <row r="357" spans="1:11" x14ac:dyDescent="0.25">
      <c r="A357">
        <v>356</v>
      </c>
      <c r="B357" s="2" t="str">
        <f t="shared" si="30"/>
        <v>03-12-2010</v>
      </c>
      <c r="C357" t="s">
        <v>10</v>
      </c>
      <c r="D357">
        <v>3</v>
      </c>
      <c r="E357" t="str">
        <f t="shared" si="31"/>
        <v>03</v>
      </c>
      <c r="F357">
        <v>12</v>
      </c>
      <c r="G357" t="str">
        <f t="shared" si="32"/>
        <v>12</v>
      </c>
      <c r="H357">
        <v>2010</v>
      </c>
      <c r="I357" t="str">
        <f t="shared" si="33"/>
        <v>201012</v>
      </c>
      <c r="J357" t="str">
        <f t="shared" si="35"/>
        <v>https://www.euro-millions.com/results/03-12-2010</v>
      </c>
      <c r="K357" t="str">
        <f t="shared" si="34"/>
        <v>http://lottery.merseyworld.com/Euro/archive/Lott356.html</v>
      </c>
    </row>
    <row r="358" spans="1:11" x14ac:dyDescent="0.25">
      <c r="A358">
        <v>357</v>
      </c>
      <c r="B358" s="2" t="str">
        <f t="shared" si="30"/>
        <v>10-12-2010</v>
      </c>
      <c r="C358" t="s">
        <v>10</v>
      </c>
      <c r="D358">
        <v>10</v>
      </c>
      <c r="E358" t="str">
        <f t="shared" si="31"/>
        <v>10</v>
      </c>
      <c r="F358">
        <v>12</v>
      </c>
      <c r="G358" t="str">
        <f t="shared" si="32"/>
        <v>12</v>
      </c>
      <c r="H358">
        <v>2010</v>
      </c>
      <c r="I358" t="str">
        <f t="shared" si="33"/>
        <v>201012</v>
      </c>
      <c r="J358" t="str">
        <f t="shared" si="35"/>
        <v>https://www.euro-millions.com/results/10-12-2010</v>
      </c>
      <c r="K358" t="str">
        <f t="shared" si="34"/>
        <v>http://lottery.merseyworld.com/Euro/archive/Lott357.html</v>
      </c>
    </row>
    <row r="359" spans="1:11" x14ac:dyDescent="0.25">
      <c r="A359">
        <v>358</v>
      </c>
      <c r="B359" s="2" t="str">
        <f t="shared" si="30"/>
        <v>17-12-2010</v>
      </c>
      <c r="C359" t="s">
        <v>10</v>
      </c>
      <c r="D359">
        <v>17</v>
      </c>
      <c r="E359" t="str">
        <f t="shared" si="31"/>
        <v>17</v>
      </c>
      <c r="F359">
        <v>12</v>
      </c>
      <c r="G359" t="str">
        <f t="shared" si="32"/>
        <v>12</v>
      </c>
      <c r="H359">
        <v>2010</v>
      </c>
      <c r="I359" t="str">
        <f t="shared" si="33"/>
        <v>201012</v>
      </c>
      <c r="J359" t="str">
        <f t="shared" si="35"/>
        <v>https://www.euro-millions.com/results/17-12-2010</v>
      </c>
      <c r="K359" t="str">
        <f t="shared" si="34"/>
        <v>http://lottery.merseyworld.com/Euro/archive/Lott358.html</v>
      </c>
    </row>
    <row r="360" spans="1:11" x14ac:dyDescent="0.25">
      <c r="A360">
        <v>359</v>
      </c>
      <c r="B360" s="2" t="str">
        <f t="shared" si="30"/>
        <v>24-12-2010</v>
      </c>
      <c r="C360" t="s">
        <v>10</v>
      </c>
      <c r="D360">
        <v>24</v>
      </c>
      <c r="E360" t="str">
        <f t="shared" si="31"/>
        <v>24</v>
      </c>
      <c r="F360">
        <v>12</v>
      </c>
      <c r="G360" t="str">
        <f t="shared" si="32"/>
        <v>12</v>
      </c>
      <c r="H360">
        <v>2010</v>
      </c>
      <c r="I360" t="str">
        <f t="shared" si="33"/>
        <v>201012</v>
      </c>
      <c r="J360" t="str">
        <f t="shared" si="35"/>
        <v>https://www.euro-millions.com/results/24-12-2010</v>
      </c>
      <c r="K360" t="str">
        <f t="shared" si="34"/>
        <v>http://lottery.merseyworld.com/Euro/archive/Lott359.html</v>
      </c>
    </row>
    <row r="361" spans="1:11" x14ac:dyDescent="0.25">
      <c r="A361">
        <v>360</v>
      </c>
      <c r="B361" s="2" t="str">
        <f t="shared" si="30"/>
        <v>31-12-2010</v>
      </c>
      <c r="C361" t="s">
        <v>10</v>
      </c>
      <c r="D361">
        <v>31</v>
      </c>
      <c r="E361" t="str">
        <f t="shared" si="31"/>
        <v>31</v>
      </c>
      <c r="F361">
        <v>12</v>
      </c>
      <c r="G361" t="str">
        <f t="shared" si="32"/>
        <v>12</v>
      </c>
      <c r="H361">
        <v>2010</v>
      </c>
      <c r="I361" t="str">
        <f t="shared" si="33"/>
        <v>201012</v>
      </c>
      <c r="J361" t="str">
        <f t="shared" si="35"/>
        <v>https://www.euro-millions.com/results/31-12-2010</v>
      </c>
      <c r="K361" t="str">
        <f t="shared" si="34"/>
        <v>http://lottery.merseyworld.com/Euro/archive/Lott360.html</v>
      </c>
    </row>
    <row r="362" spans="1:11" x14ac:dyDescent="0.25">
      <c r="A362">
        <v>361</v>
      </c>
      <c r="B362" s="2" t="str">
        <f t="shared" si="30"/>
        <v>07-01-2011</v>
      </c>
      <c r="C362" t="s">
        <v>10</v>
      </c>
      <c r="D362">
        <v>7</v>
      </c>
      <c r="E362" t="str">
        <f t="shared" si="31"/>
        <v>07</v>
      </c>
      <c r="F362">
        <v>1</v>
      </c>
      <c r="G362" t="str">
        <f t="shared" si="32"/>
        <v>01</v>
      </c>
      <c r="H362">
        <v>2011</v>
      </c>
      <c r="I362" t="str">
        <f t="shared" si="33"/>
        <v>201101</v>
      </c>
      <c r="J362" t="str">
        <f t="shared" si="35"/>
        <v>https://www.euro-millions.com/results/07-01-2011</v>
      </c>
      <c r="K362" t="str">
        <f t="shared" si="34"/>
        <v>http://lottery.merseyworld.com/Euro/archive/Lott361.html</v>
      </c>
    </row>
    <row r="363" spans="1:11" x14ac:dyDescent="0.25">
      <c r="A363">
        <v>362</v>
      </c>
      <c r="B363" s="2" t="str">
        <f t="shared" si="30"/>
        <v>14-01-2011</v>
      </c>
      <c r="C363" t="s">
        <v>10</v>
      </c>
      <c r="D363">
        <v>14</v>
      </c>
      <c r="E363" t="str">
        <f t="shared" si="31"/>
        <v>14</v>
      </c>
      <c r="F363">
        <v>1</v>
      </c>
      <c r="G363" t="str">
        <f t="shared" si="32"/>
        <v>01</v>
      </c>
      <c r="H363">
        <v>2011</v>
      </c>
      <c r="I363" t="str">
        <f t="shared" si="33"/>
        <v>201101</v>
      </c>
      <c r="J363" t="str">
        <f t="shared" si="35"/>
        <v>https://www.euro-millions.com/results/14-01-2011</v>
      </c>
      <c r="K363" t="str">
        <f t="shared" si="34"/>
        <v>http://lottery.merseyworld.com/Euro/archive/Lott362.html</v>
      </c>
    </row>
    <row r="364" spans="1:11" x14ac:dyDescent="0.25">
      <c r="A364">
        <v>363</v>
      </c>
      <c r="B364" s="2" t="str">
        <f t="shared" si="30"/>
        <v>21-01-2011</v>
      </c>
      <c r="C364" t="s">
        <v>10</v>
      </c>
      <c r="D364">
        <v>21</v>
      </c>
      <c r="E364" t="str">
        <f t="shared" si="31"/>
        <v>21</v>
      </c>
      <c r="F364">
        <v>1</v>
      </c>
      <c r="G364" t="str">
        <f t="shared" si="32"/>
        <v>01</v>
      </c>
      <c r="H364">
        <v>2011</v>
      </c>
      <c r="I364" t="str">
        <f t="shared" si="33"/>
        <v>201101</v>
      </c>
      <c r="J364" t="str">
        <f t="shared" si="35"/>
        <v>https://www.euro-millions.com/results/21-01-2011</v>
      </c>
      <c r="K364" t="str">
        <f t="shared" si="34"/>
        <v>http://lottery.merseyworld.com/Euro/archive/Lott363.html</v>
      </c>
    </row>
    <row r="365" spans="1:11" x14ac:dyDescent="0.25">
      <c r="A365">
        <v>364</v>
      </c>
      <c r="B365" s="2" t="str">
        <f t="shared" si="30"/>
        <v>28-01-2011</v>
      </c>
      <c r="C365" t="s">
        <v>10</v>
      </c>
      <c r="D365">
        <v>28</v>
      </c>
      <c r="E365" t="str">
        <f t="shared" si="31"/>
        <v>28</v>
      </c>
      <c r="F365">
        <v>1</v>
      </c>
      <c r="G365" t="str">
        <f t="shared" si="32"/>
        <v>01</v>
      </c>
      <c r="H365">
        <v>2011</v>
      </c>
      <c r="I365" t="str">
        <f t="shared" si="33"/>
        <v>201101</v>
      </c>
      <c r="J365" t="str">
        <f t="shared" si="35"/>
        <v>https://www.euro-millions.com/results/28-01-2011</v>
      </c>
      <c r="K365" t="str">
        <f t="shared" si="34"/>
        <v>http://lottery.merseyworld.com/Euro/archive/Lott364.html</v>
      </c>
    </row>
    <row r="366" spans="1:11" x14ac:dyDescent="0.25">
      <c r="A366">
        <v>365</v>
      </c>
      <c r="B366" s="2" t="str">
        <f t="shared" si="30"/>
        <v>04-02-2011</v>
      </c>
      <c r="C366" t="s">
        <v>10</v>
      </c>
      <c r="D366">
        <v>4</v>
      </c>
      <c r="E366" t="str">
        <f t="shared" si="31"/>
        <v>04</v>
      </c>
      <c r="F366">
        <v>2</v>
      </c>
      <c r="G366" t="str">
        <f t="shared" si="32"/>
        <v>02</v>
      </c>
      <c r="H366">
        <v>2011</v>
      </c>
      <c r="I366" t="str">
        <f t="shared" si="33"/>
        <v>201102</v>
      </c>
      <c r="J366" t="str">
        <f t="shared" si="35"/>
        <v>https://www.euro-millions.com/results/04-02-2011</v>
      </c>
      <c r="K366" t="str">
        <f t="shared" si="34"/>
        <v>http://lottery.merseyworld.com/Euro/archive/Lott365.html</v>
      </c>
    </row>
    <row r="367" spans="1:11" x14ac:dyDescent="0.25">
      <c r="A367">
        <v>366</v>
      </c>
      <c r="B367" s="2" t="str">
        <f t="shared" si="30"/>
        <v>11-02-2011</v>
      </c>
      <c r="C367" t="s">
        <v>10</v>
      </c>
      <c r="D367">
        <v>11</v>
      </c>
      <c r="E367" t="str">
        <f t="shared" si="31"/>
        <v>11</v>
      </c>
      <c r="F367">
        <v>2</v>
      </c>
      <c r="G367" t="str">
        <f t="shared" si="32"/>
        <v>02</v>
      </c>
      <c r="H367">
        <v>2011</v>
      </c>
      <c r="I367" t="str">
        <f t="shared" si="33"/>
        <v>201102</v>
      </c>
      <c r="J367" t="str">
        <f t="shared" si="35"/>
        <v>https://www.euro-millions.com/results/11-02-2011</v>
      </c>
      <c r="K367" t="str">
        <f t="shared" si="34"/>
        <v>http://lottery.merseyworld.com/Euro/archive/Lott366.html</v>
      </c>
    </row>
    <row r="368" spans="1:11" x14ac:dyDescent="0.25">
      <c r="A368">
        <v>367</v>
      </c>
      <c r="B368" s="2" t="str">
        <f t="shared" si="30"/>
        <v>18-02-2011</v>
      </c>
      <c r="C368" t="s">
        <v>10</v>
      </c>
      <c r="D368">
        <v>18</v>
      </c>
      <c r="E368" t="str">
        <f t="shared" si="31"/>
        <v>18</v>
      </c>
      <c r="F368">
        <v>2</v>
      </c>
      <c r="G368" t="str">
        <f t="shared" si="32"/>
        <v>02</v>
      </c>
      <c r="H368">
        <v>2011</v>
      </c>
      <c r="I368" t="str">
        <f t="shared" si="33"/>
        <v>201102</v>
      </c>
      <c r="J368" t="str">
        <f t="shared" si="35"/>
        <v>https://www.euro-millions.com/results/18-02-2011</v>
      </c>
      <c r="K368" t="str">
        <f t="shared" si="34"/>
        <v>http://lottery.merseyworld.com/Euro/archive/Lott367.html</v>
      </c>
    </row>
    <row r="369" spans="1:11" x14ac:dyDescent="0.25">
      <c r="A369">
        <v>368</v>
      </c>
      <c r="B369" s="2" t="str">
        <f t="shared" si="30"/>
        <v>25-02-2011</v>
      </c>
      <c r="C369" t="s">
        <v>10</v>
      </c>
      <c r="D369">
        <v>25</v>
      </c>
      <c r="E369" t="str">
        <f t="shared" si="31"/>
        <v>25</v>
      </c>
      <c r="F369">
        <v>2</v>
      </c>
      <c r="G369" t="str">
        <f t="shared" si="32"/>
        <v>02</v>
      </c>
      <c r="H369">
        <v>2011</v>
      </c>
      <c r="I369" t="str">
        <f t="shared" si="33"/>
        <v>201102</v>
      </c>
      <c r="J369" t="str">
        <f t="shared" si="35"/>
        <v>https://www.euro-millions.com/results/25-02-2011</v>
      </c>
      <c r="K369" t="str">
        <f t="shared" si="34"/>
        <v>http://lottery.merseyworld.com/Euro/archive/Lott368.html</v>
      </c>
    </row>
    <row r="370" spans="1:11" x14ac:dyDescent="0.25">
      <c r="A370">
        <v>369</v>
      </c>
      <c r="B370" s="2" t="str">
        <f t="shared" si="30"/>
        <v>04-03-2011</v>
      </c>
      <c r="C370" t="s">
        <v>10</v>
      </c>
      <c r="D370">
        <v>4</v>
      </c>
      <c r="E370" t="str">
        <f t="shared" si="31"/>
        <v>04</v>
      </c>
      <c r="F370">
        <v>3</v>
      </c>
      <c r="G370" t="str">
        <f t="shared" si="32"/>
        <v>03</v>
      </c>
      <c r="H370">
        <v>2011</v>
      </c>
      <c r="I370" t="str">
        <f t="shared" si="33"/>
        <v>201103</v>
      </c>
      <c r="J370" t="str">
        <f t="shared" si="35"/>
        <v>https://www.euro-millions.com/results/04-03-2011</v>
      </c>
      <c r="K370" t="str">
        <f t="shared" si="34"/>
        <v>http://lottery.merseyworld.com/Euro/archive/Lott369.html</v>
      </c>
    </row>
    <row r="371" spans="1:11" x14ac:dyDescent="0.25">
      <c r="A371">
        <v>370</v>
      </c>
      <c r="B371" s="2" t="str">
        <f t="shared" si="30"/>
        <v>11-03-2011</v>
      </c>
      <c r="C371" t="s">
        <v>10</v>
      </c>
      <c r="D371">
        <v>11</v>
      </c>
      <c r="E371" t="str">
        <f t="shared" si="31"/>
        <v>11</v>
      </c>
      <c r="F371">
        <v>3</v>
      </c>
      <c r="G371" t="str">
        <f t="shared" si="32"/>
        <v>03</v>
      </c>
      <c r="H371">
        <v>2011</v>
      </c>
      <c r="I371" t="str">
        <f t="shared" si="33"/>
        <v>201103</v>
      </c>
      <c r="J371" t="str">
        <f t="shared" si="35"/>
        <v>https://www.euro-millions.com/results/11-03-2011</v>
      </c>
      <c r="K371" t="str">
        <f t="shared" si="34"/>
        <v>http://lottery.merseyworld.com/Euro/archive/Lott370.html</v>
      </c>
    </row>
    <row r="372" spans="1:11" x14ac:dyDescent="0.25">
      <c r="A372">
        <v>371</v>
      </c>
      <c r="B372" s="2" t="str">
        <f t="shared" si="30"/>
        <v>18-03-2011</v>
      </c>
      <c r="C372" t="s">
        <v>10</v>
      </c>
      <c r="D372">
        <v>18</v>
      </c>
      <c r="E372" t="str">
        <f t="shared" si="31"/>
        <v>18</v>
      </c>
      <c r="F372">
        <v>3</v>
      </c>
      <c r="G372" t="str">
        <f t="shared" si="32"/>
        <v>03</v>
      </c>
      <c r="H372">
        <v>2011</v>
      </c>
      <c r="I372" t="str">
        <f t="shared" si="33"/>
        <v>201103</v>
      </c>
      <c r="J372" t="str">
        <f t="shared" si="35"/>
        <v>https://www.euro-millions.com/results/18-03-2011</v>
      </c>
      <c r="K372" t="str">
        <f t="shared" si="34"/>
        <v>http://lottery.merseyworld.com/Euro/archive/Lott371.html</v>
      </c>
    </row>
    <row r="373" spans="1:11" x14ac:dyDescent="0.25">
      <c r="A373">
        <v>372</v>
      </c>
      <c r="B373" s="2" t="str">
        <f t="shared" si="30"/>
        <v>25-03-2011</v>
      </c>
      <c r="C373" t="s">
        <v>10</v>
      </c>
      <c r="D373">
        <v>25</v>
      </c>
      <c r="E373" t="str">
        <f t="shared" si="31"/>
        <v>25</v>
      </c>
      <c r="F373">
        <v>3</v>
      </c>
      <c r="G373" t="str">
        <f t="shared" si="32"/>
        <v>03</v>
      </c>
      <c r="H373">
        <v>2011</v>
      </c>
      <c r="I373" t="str">
        <f t="shared" si="33"/>
        <v>201103</v>
      </c>
      <c r="J373" t="str">
        <f t="shared" si="35"/>
        <v>https://www.euro-millions.com/results/25-03-2011</v>
      </c>
      <c r="K373" t="str">
        <f t="shared" si="34"/>
        <v>http://lottery.merseyworld.com/Euro/archive/Lott372.html</v>
      </c>
    </row>
    <row r="374" spans="1:11" x14ac:dyDescent="0.25">
      <c r="A374">
        <v>373</v>
      </c>
      <c r="B374" s="2" t="str">
        <f t="shared" si="30"/>
        <v>01-04-2011</v>
      </c>
      <c r="C374" t="s">
        <v>10</v>
      </c>
      <c r="D374">
        <v>1</v>
      </c>
      <c r="E374" t="str">
        <f t="shared" si="31"/>
        <v>01</v>
      </c>
      <c r="F374">
        <v>4</v>
      </c>
      <c r="G374" t="str">
        <f t="shared" si="32"/>
        <v>04</v>
      </c>
      <c r="H374">
        <v>2011</v>
      </c>
      <c r="I374" t="str">
        <f t="shared" si="33"/>
        <v>201104</v>
      </c>
      <c r="J374" t="str">
        <f t="shared" si="35"/>
        <v>https://www.euro-millions.com/results/01-04-2011</v>
      </c>
      <c r="K374" t="str">
        <f t="shared" si="34"/>
        <v>http://lottery.merseyworld.com/Euro/archive/Lott373.html</v>
      </c>
    </row>
    <row r="375" spans="1:11" x14ac:dyDescent="0.25">
      <c r="A375">
        <v>374</v>
      </c>
      <c r="B375" s="2" t="str">
        <f t="shared" si="30"/>
        <v>08-04-2011</v>
      </c>
      <c r="C375" t="s">
        <v>10</v>
      </c>
      <c r="D375">
        <v>8</v>
      </c>
      <c r="E375" t="str">
        <f t="shared" si="31"/>
        <v>08</v>
      </c>
      <c r="F375">
        <v>4</v>
      </c>
      <c r="G375" t="str">
        <f t="shared" si="32"/>
        <v>04</v>
      </c>
      <c r="H375">
        <v>2011</v>
      </c>
      <c r="I375" t="str">
        <f t="shared" si="33"/>
        <v>201104</v>
      </c>
      <c r="J375" t="str">
        <f t="shared" si="35"/>
        <v>https://www.euro-millions.com/results/08-04-2011</v>
      </c>
      <c r="K375" t="str">
        <f t="shared" si="34"/>
        <v>http://lottery.merseyworld.com/Euro/archive/Lott374.html</v>
      </c>
    </row>
    <row r="376" spans="1:11" x14ac:dyDescent="0.25">
      <c r="A376">
        <v>375</v>
      </c>
      <c r="B376" s="2" t="str">
        <f t="shared" si="30"/>
        <v>15-04-2011</v>
      </c>
      <c r="C376" t="s">
        <v>10</v>
      </c>
      <c r="D376">
        <v>15</v>
      </c>
      <c r="E376" t="str">
        <f t="shared" si="31"/>
        <v>15</v>
      </c>
      <c r="F376">
        <v>4</v>
      </c>
      <c r="G376" t="str">
        <f t="shared" si="32"/>
        <v>04</v>
      </c>
      <c r="H376">
        <v>2011</v>
      </c>
      <c r="I376" t="str">
        <f t="shared" si="33"/>
        <v>201104</v>
      </c>
      <c r="J376" t="str">
        <f t="shared" si="35"/>
        <v>https://www.euro-millions.com/results/15-04-2011</v>
      </c>
      <c r="K376" t="str">
        <f t="shared" si="34"/>
        <v>http://lottery.merseyworld.com/Euro/archive/Lott375.html</v>
      </c>
    </row>
    <row r="377" spans="1:11" x14ac:dyDescent="0.25">
      <c r="A377">
        <v>376</v>
      </c>
      <c r="B377" s="2" t="str">
        <f t="shared" si="30"/>
        <v>22-04-2011</v>
      </c>
      <c r="C377" t="s">
        <v>10</v>
      </c>
      <c r="D377">
        <v>22</v>
      </c>
      <c r="E377" t="str">
        <f t="shared" si="31"/>
        <v>22</v>
      </c>
      <c r="F377">
        <v>4</v>
      </c>
      <c r="G377" t="str">
        <f t="shared" si="32"/>
        <v>04</v>
      </c>
      <c r="H377">
        <v>2011</v>
      </c>
      <c r="I377" t="str">
        <f t="shared" si="33"/>
        <v>201104</v>
      </c>
      <c r="J377" t="str">
        <f t="shared" si="35"/>
        <v>https://www.euro-millions.com/results/22-04-2011</v>
      </c>
      <c r="K377" t="str">
        <f t="shared" si="34"/>
        <v>http://lottery.merseyworld.com/Euro/archive/Lott376.html</v>
      </c>
    </row>
    <row r="378" spans="1:11" x14ac:dyDescent="0.25">
      <c r="A378">
        <v>377</v>
      </c>
      <c r="B378" s="2" t="str">
        <f t="shared" si="30"/>
        <v>29-04-2011</v>
      </c>
      <c r="C378" t="s">
        <v>10</v>
      </c>
      <c r="D378">
        <v>29</v>
      </c>
      <c r="E378" t="str">
        <f t="shared" si="31"/>
        <v>29</v>
      </c>
      <c r="F378">
        <v>4</v>
      </c>
      <c r="G378" t="str">
        <f t="shared" si="32"/>
        <v>04</v>
      </c>
      <c r="H378">
        <v>2011</v>
      </c>
      <c r="I378" t="str">
        <f t="shared" si="33"/>
        <v>201104</v>
      </c>
      <c r="J378" t="str">
        <f t="shared" si="35"/>
        <v>https://www.euro-millions.com/results/29-04-2011</v>
      </c>
      <c r="K378" t="str">
        <f t="shared" si="34"/>
        <v>http://lottery.merseyworld.com/Euro/archive/Lott377.html</v>
      </c>
    </row>
    <row r="379" spans="1:11" x14ac:dyDescent="0.25">
      <c r="A379">
        <v>378</v>
      </c>
      <c r="B379" s="2" t="str">
        <f t="shared" si="30"/>
        <v>06-05-2011</v>
      </c>
      <c r="C379" t="s">
        <v>10</v>
      </c>
      <c r="D379">
        <v>6</v>
      </c>
      <c r="E379" t="str">
        <f t="shared" si="31"/>
        <v>06</v>
      </c>
      <c r="F379">
        <v>5</v>
      </c>
      <c r="G379" t="str">
        <f t="shared" si="32"/>
        <v>05</v>
      </c>
      <c r="H379">
        <v>2011</v>
      </c>
      <c r="I379" t="str">
        <f t="shared" si="33"/>
        <v>201105</v>
      </c>
      <c r="J379" t="str">
        <f t="shared" si="35"/>
        <v>https://www.euro-millions.com/results/06-05-2011</v>
      </c>
      <c r="K379" t="str">
        <f t="shared" si="34"/>
        <v>http://lottery.merseyworld.com/Euro/archive/Lott378.html</v>
      </c>
    </row>
    <row r="380" spans="1:11" x14ac:dyDescent="0.25">
      <c r="A380">
        <v>379</v>
      </c>
      <c r="B380" s="2" t="str">
        <f t="shared" si="30"/>
        <v>10-05-2011</v>
      </c>
      <c r="C380" t="s">
        <v>16</v>
      </c>
      <c r="D380">
        <v>10</v>
      </c>
      <c r="E380" t="str">
        <f t="shared" si="31"/>
        <v>10</v>
      </c>
      <c r="F380">
        <v>5</v>
      </c>
      <c r="G380" t="str">
        <f t="shared" si="32"/>
        <v>05</v>
      </c>
      <c r="H380">
        <v>2011</v>
      </c>
      <c r="I380" t="str">
        <f t="shared" si="33"/>
        <v>201105</v>
      </c>
      <c r="J380" t="str">
        <f t="shared" si="35"/>
        <v>https://www.euro-millions.com/results/10-05-2011</v>
      </c>
      <c r="K380" t="str">
        <f t="shared" si="34"/>
        <v>http://lottery.merseyworld.com/Euro/archive/Lott379.html</v>
      </c>
    </row>
    <row r="381" spans="1:11" x14ac:dyDescent="0.25">
      <c r="A381">
        <v>380</v>
      </c>
      <c r="B381" s="2" t="str">
        <f t="shared" si="30"/>
        <v>13-05-2011</v>
      </c>
      <c r="C381" t="s">
        <v>10</v>
      </c>
      <c r="D381">
        <v>13</v>
      </c>
      <c r="E381" t="str">
        <f t="shared" si="31"/>
        <v>13</v>
      </c>
      <c r="F381">
        <v>5</v>
      </c>
      <c r="G381" t="str">
        <f t="shared" si="32"/>
        <v>05</v>
      </c>
      <c r="H381">
        <v>2011</v>
      </c>
      <c r="I381" t="str">
        <f t="shared" si="33"/>
        <v>201105</v>
      </c>
      <c r="J381" t="str">
        <f t="shared" si="35"/>
        <v>https://www.euro-millions.com/results/13-05-2011</v>
      </c>
      <c r="K381" t="str">
        <f t="shared" si="34"/>
        <v>http://lottery.merseyworld.com/Euro/archive/Lott380.html</v>
      </c>
    </row>
    <row r="382" spans="1:11" x14ac:dyDescent="0.25">
      <c r="A382">
        <v>381</v>
      </c>
      <c r="B382" s="2" t="str">
        <f t="shared" si="30"/>
        <v>17-05-2011</v>
      </c>
      <c r="C382" t="s">
        <v>16</v>
      </c>
      <c r="D382">
        <v>17</v>
      </c>
      <c r="E382" t="str">
        <f t="shared" si="31"/>
        <v>17</v>
      </c>
      <c r="F382">
        <v>5</v>
      </c>
      <c r="G382" t="str">
        <f t="shared" si="32"/>
        <v>05</v>
      </c>
      <c r="H382">
        <v>2011</v>
      </c>
      <c r="I382" t="str">
        <f t="shared" si="33"/>
        <v>201105</v>
      </c>
      <c r="J382" t="str">
        <f t="shared" si="35"/>
        <v>https://www.euro-millions.com/results/17-05-2011</v>
      </c>
      <c r="K382" t="str">
        <f t="shared" si="34"/>
        <v>http://lottery.merseyworld.com/Euro/archive/Lott381.html</v>
      </c>
    </row>
    <row r="383" spans="1:11" x14ac:dyDescent="0.25">
      <c r="A383">
        <v>382</v>
      </c>
      <c r="B383" s="2" t="str">
        <f t="shared" si="30"/>
        <v>20-05-2011</v>
      </c>
      <c r="C383" t="s">
        <v>10</v>
      </c>
      <c r="D383">
        <v>20</v>
      </c>
      <c r="E383" t="str">
        <f t="shared" si="31"/>
        <v>20</v>
      </c>
      <c r="F383">
        <v>5</v>
      </c>
      <c r="G383" t="str">
        <f t="shared" si="32"/>
        <v>05</v>
      </c>
      <c r="H383">
        <v>2011</v>
      </c>
      <c r="I383" t="str">
        <f t="shared" si="33"/>
        <v>201105</v>
      </c>
      <c r="J383" t="str">
        <f t="shared" si="35"/>
        <v>https://www.euro-millions.com/results/20-05-2011</v>
      </c>
      <c r="K383" t="str">
        <f t="shared" si="34"/>
        <v>http://lottery.merseyworld.com/Euro/archive/Lott382.html</v>
      </c>
    </row>
    <row r="384" spans="1:11" x14ac:dyDescent="0.25">
      <c r="A384">
        <v>383</v>
      </c>
      <c r="B384" s="2" t="str">
        <f t="shared" si="30"/>
        <v>24-05-2011</v>
      </c>
      <c r="C384" t="s">
        <v>16</v>
      </c>
      <c r="D384">
        <v>24</v>
      </c>
      <c r="E384" t="str">
        <f t="shared" si="31"/>
        <v>24</v>
      </c>
      <c r="F384">
        <v>5</v>
      </c>
      <c r="G384" t="str">
        <f t="shared" si="32"/>
        <v>05</v>
      </c>
      <c r="H384">
        <v>2011</v>
      </c>
      <c r="I384" t="str">
        <f t="shared" si="33"/>
        <v>201105</v>
      </c>
      <c r="J384" t="str">
        <f t="shared" si="35"/>
        <v>https://www.euro-millions.com/results/24-05-2011</v>
      </c>
      <c r="K384" t="str">
        <f t="shared" si="34"/>
        <v>http://lottery.merseyworld.com/Euro/archive/Lott383.html</v>
      </c>
    </row>
    <row r="385" spans="1:11" x14ac:dyDescent="0.25">
      <c r="A385">
        <v>384</v>
      </c>
      <c r="B385" s="2" t="str">
        <f t="shared" si="30"/>
        <v>27-05-2011</v>
      </c>
      <c r="C385" t="s">
        <v>10</v>
      </c>
      <c r="D385">
        <v>27</v>
      </c>
      <c r="E385" t="str">
        <f t="shared" si="31"/>
        <v>27</v>
      </c>
      <c r="F385">
        <v>5</v>
      </c>
      <c r="G385" t="str">
        <f t="shared" si="32"/>
        <v>05</v>
      </c>
      <c r="H385">
        <v>2011</v>
      </c>
      <c r="I385" t="str">
        <f t="shared" si="33"/>
        <v>201105</v>
      </c>
      <c r="J385" t="str">
        <f t="shared" si="35"/>
        <v>https://www.euro-millions.com/results/27-05-2011</v>
      </c>
      <c r="K385" t="str">
        <f t="shared" si="34"/>
        <v>http://lottery.merseyworld.com/Euro/archive/Lott384.html</v>
      </c>
    </row>
    <row r="386" spans="1:11" x14ac:dyDescent="0.25">
      <c r="A386">
        <v>385</v>
      </c>
      <c r="B386" s="2" t="str">
        <f t="shared" si="30"/>
        <v>31-05-2011</v>
      </c>
      <c r="C386" t="s">
        <v>16</v>
      </c>
      <c r="D386">
        <v>31</v>
      </c>
      <c r="E386" t="str">
        <f t="shared" si="31"/>
        <v>31</v>
      </c>
      <c r="F386">
        <v>5</v>
      </c>
      <c r="G386" t="str">
        <f t="shared" si="32"/>
        <v>05</v>
      </c>
      <c r="H386">
        <v>2011</v>
      </c>
      <c r="I386" t="str">
        <f t="shared" si="33"/>
        <v>201105</v>
      </c>
      <c r="J386" t="str">
        <f t="shared" si="35"/>
        <v>https://www.euro-millions.com/results/31-05-2011</v>
      </c>
      <c r="K386" t="str">
        <f t="shared" si="34"/>
        <v>http://lottery.merseyworld.com/Euro/archive/Lott385.html</v>
      </c>
    </row>
    <row r="387" spans="1:11" x14ac:dyDescent="0.25">
      <c r="A387">
        <v>386</v>
      </c>
      <c r="B387" s="2" t="str">
        <f t="shared" ref="B387:B450" si="36">CONCATENATE(E387,"-",G387,"-",H387)</f>
        <v>03-06-2011</v>
      </c>
      <c r="C387" t="s">
        <v>10</v>
      </c>
      <c r="D387">
        <v>3</v>
      </c>
      <c r="E387" t="str">
        <f t="shared" ref="E387:E450" si="37">CONCATENATE(IF(LEN(D387)=1,CONCATENATE("0",D387),D387))</f>
        <v>03</v>
      </c>
      <c r="F387">
        <v>6</v>
      </c>
      <c r="G387" t="str">
        <f t="shared" ref="G387:G450" si="38">CONCATENATE(IF(LEN(F387)=1,CONCATENATE("0",F387),F387))</f>
        <v>06</v>
      </c>
      <c r="H387">
        <v>2011</v>
      </c>
      <c r="I387" t="str">
        <f t="shared" ref="I387:I450" si="39">CONCATENATE(H387,IF(LEN(F387)=1,CONCATENATE("0",F387),F387))</f>
        <v>201106</v>
      </c>
      <c r="J387" t="str">
        <f t="shared" si="35"/>
        <v>https://www.euro-millions.com/results/03-06-2011</v>
      </c>
      <c r="K387" t="str">
        <f t="shared" ref="K387:K450" si="40">CONCATENATE("http://lottery.merseyworld.com/Euro/archive/Lott",RIGHT(CONCATENATE("00",A387),3),".html")</f>
        <v>http://lottery.merseyworld.com/Euro/archive/Lott386.html</v>
      </c>
    </row>
    <row r="388" spans="1:11" x14ac:dyDescent="0.25">
      <c r="A388">
        <v>387</v>
      </c>
      <c r="B388" s="2" t="str">
        <f t="shared" si="36"/>
        <v>07-06-2011</v>
      </c>
      <c r="C388" t="s">
        <v>16</v>
      </c>
      <c r="D388">
        <v>7</v>
      </c>
      <c r="E388" t="str">
        <f t="shared" si="37"/>
        <v>07</v>
      </c>
      <c r="F388">
        <v>6</v>
      </c>
      <c r="G388" t="str">
        <f t="shared" si="38"/>
        <v>06</v>
      </c>
      <c r="H388">
        <v>2011</v>
      </c>
      <c r="I388" t="str">
        <f t="shared" si="39"/>
        <v>201106</v>
      </c>
      <c r="J388" t="str">
        <f t="shared" si="35"/>
        <v>https://www.euro-millions.com/results/07-06-2011</v>
      </c>
      <c r="K388" t="str">
        <f t="shared" si="40"/>
        <v>http://lottery.merseyworld.com/Euro/archive/Lott387.html</v>
      </c>
    </row>
    <row r="389" spans="1:11" x14ac:dyDescent="0.25">
      <c r="A389">
        <v>388</v>
      </c>
      <c r="B389" s="2" t="str">
        <f t="shared" si="36"/>
        <v>10-06-2011</v>
      </c>
      <c r="C389" t="s">
        <v>10</v>
      </c>
      <c r="D389">
        <v>10</v>
      </c>
      <c r="E389" t="str">
        <f t="shared" si="37"/>
        <v>10</v>
      </c>
      <c r="F389">
        <v>6</v>
      </c>
      <c r="G389" t="str">
        <f t="shared" si="38"/>
        <v>06</v>
      </c>
      <c r="H389">
        <v>2011</v>
      </c>
      <c r="I389" t="str">
        <f t="shared" si="39"/>
        <v>201106</v>
      </c>
      <c r="J389" t="str">
        <f t="shared" si="35"/>
        <v>https://www.euro-millions.com/results/10-06-2011</v>
      </c>
      <c r="K389" t="str">
        <f t="shared" si="40"/>
        <v>http://lottery.merseyworld.com/Euro/archive/Lott388.html</v>
      </c>
    </row>
    <row r="390" spans="1:11" x14ac:dyDescent="0.25">
      <c r="A390">
        <v>389</v>
      </c>
      <c r="B390" s="2" t="str">
        <f t="shared" si="36"/>
        <v>14-06-2011</v>
      </c>
      <c r="C390" t="s">
        <v>16</v>
      </c>
      <c r="D390">
        <v>14</v>
      </c>
      <c r="E390" t="str">
        <f t="shared" si="37"/>
        <v>14</v>
      </c>
      <c r="F390">
        <v>6</v>
      </c>
      <c r="G390" t="str">
        <f t="shared" si="38"/>
        <v>06</v>
      </c>
      <c r="H390">
        <v>2011</v>
      </c>
      <c r="I390" t="str">
        <f t="shared" si="39"/>
        <v>201106</v>
      </c>
      <c r="J390" t="str">
        <f t="shared" si="35"/>
        <v>https://www.euro-millions.com/results/14-06-2011</v>
      </c>
      <c r="K390" t="str">
        <f t="shared" si="40"/>
        <v>http://lottery.merseyworld.com/Euro/archive/Lott389.html</v>
      </c>
    </row>
    <row r="391" spans="1:11" x14ac:dyDescent="0.25">
      <c r="A391">
        <v>390</v>
      </c>
      <c r="B391" s="2" t="str">
        <f t="shared" si="36"/>
        <v>17-06-2011</v>
      </c>
      <c r="C391" t="s">
        <v>10</v>
      </c>
      <c r="D391">
        <v>17</v>
      </c>
      <c r="E391" t="str">
        <f t="shared" si="37"/>
        <v>17</v>
      </c>
      <c r="F391">
        <v>6</v>
      </c>
      <c r="G391" t="str">
        <f t="shared" si="38"/>
        <v>06</v>
      </c>
      <c r="H391">
        <v>2011</v>
      </c>
      <c r="I391" t="str">
        <f t="shared" si="39"/>
        <v>201106</v>
      </c>
      <c r="J391" t="str">
        <f t="shared" si="35"/>
        <v>https://www.euro-millions.com/results/17-06-2011</v>
      </c>
      <c r="K391" t="str">
        <f t="shared" si="40"/>
        <v>http://lottery.merseyworld.com/Euro/archive/Lott390.html</v>
      </c>
    </row>
    <row r="392" spans="1:11" x14ac:dyDescent="0.25">
      <c r="A392">
        <v>391</v>
      </c>
      <c r="B392" s="2" t="str">
        <f t="shared" si="36"/>
        <v>21-06-2011</v>
      </c>
      <c r="C392" t="s">
        <v>16</v>
      </c>
      <c r="D392">
        <v>21</v>
      </c>
      <c r="E392" t="str">
        <f t="shared" si="37"/>
        <v>21</v>
      </c>
      <c r="F392">
        <v>6</v>
      </c>
      <c r="G392" t="str">
        <f t="shared" si="38"/>
        <v>06</v>
      </c>
      <c r="H392">
        <v>2011</v>
      </c>
      <c r="I392" t="str">
        <f t="shared" si="39"/>
        <v>201106</v>
      </c>
      <c r="J392" t="str">
        <f t="shared" ref="J392:J455" si="41">CONCATENATE("https://www.euro-millions.com/results/",E392,"-",G392,"-",H392)</f>
        <v>https://www.euro-millions.com/results/21-06-2011</v>
      </c>
      <c r="K392" t="str">
        <f t="shared" si="40"/>
        <v>http://lottery.merseyworld.com/Euro/archive/Lott391.html</v>
      </c>
    </row>
    <row r="393" spans="1:11" x14ac:dyDescent="0.25">
      <c r="A393">
        <v>392</v>
      </c>
      <c r="B393" s="2" t="str">
        <f t="shared" si="36"/>
        <v>24-06-2011</v>
      </c>
      <c r="C393" t="s">
        <v>10</v>
      </c>
      <c r="D393">
        <v>24</v>
      </c>
      <c r="E393" t="str">
        <f t="shared" si="37"/>
        <v>24</v>
      </c>
      <c r="F393">
        <v>6</v>
      </c>
      <c r="G393" t="str">
        <f t="shared" si="38"/>
        <v>06</v>
      </c>
      <c r="H393">
        <v>2011</v>
      </c>
      <c r="I393" t="str">
        <f t="shared" si="39"/>
        <v>201106</v>
      </c>
      <c r="J393" t="str">
        <f t="shared" si="41"/>
        <v>https://www.euro-millions.com/results/24-06-2011</v>
      </c>
      <c r="K393" t="str">
        <f t="shared" si="40"/>
        <v>http://lottery.merseyworld.com/Euro/archive/Lott392.html</v>
      </c>
    </row>
    <row r="394" spans="1:11" x14ac:dyDescent="0.25">
      <c r="A394">
        <v>393</v>
      </c>
      <c r="B394" s="2" t="str">
        <f t="shared" si="36"/>
        <v>28-06-2011</v>
      </c>
      <c r="C394" t="s">
        <v>16</v>
      </c>
      <c r="D394">
        <v>28</v>
      </c>
      <c r="E394" t="str">
        <f t="shared" si="37"/>
        <v>28</v>
      </c>
      <c r="F394">
        <v>6</v>
      </c>
      <c r="G394" t="str">
        <f t="shared" si="38"/>
        <v>06</v>
      </c>
      <c r="H394">
        <v>2011</v>
      </c>
      <c r="I394" t="str">
        <f t="shared" si="39"/>
        <v>201106</v>
      </c>
      <c r="J394" t="str">
        <f t="shared" si="41"/>
        <v>https://www.euro-millions.com/results/28-06-2011</v>
      </c>
      <c r="K394" t="str">
        <f t="shared" si="40"/>
        <v>http://lottery.merseyworld.com/Euro/archive/Lott393.html</v>
      </c>
    </row>
    <row r="395" spans="1:11" x14ac:dyDescent="0.25">
      <c r="A395">
        <v>394</v>
      </c>
      <c r="B395" s="2" t="str">
        <f t="shared" si="36"/>
        <v>01-07-2011</v>
      </c>
      <c r="C395" t="s">
        <v>10</v>
      </c>
      <c r="D395">
        <v>1</v>
      </c>
      <c r="E395" t="str">
        <f t="shared" si="37"/>
        <v>01</v>
      </c>
      <c r="F395">
        <v>7</v>
      </c>
      <c r="G395" t="str">
        <f t="shared" si="38"/>
        <v>07</v>
      </c>
      <c r="H395">
        <v>2011</v>
      </c>
      <c r="I395" t="str">
        <f t="shared" si="39"/>
        <v>201107</v>
      </c>
      <c r="J395" t="str">
        <f t="shared" si="41"/>
        <v>https://www.euro-millions.com/results/01-07-2011</v>
      </c>
      <c r="K395" t="str">
        <f t="shared" si="40"/>
        <v>http://lottery.merseyworld.com/Euro/archive/Lott394.html</v>
      </c>
    </row>
    <row r="396" spans="1:11" x14ac:dyDescent="0.25">
      <c r="A396">
        <v>395</v>
      </c>
      <c r="B396" s="2" t="str">
        <f t="shared" si="36"/>
        <v>05-07-2011</v>
      </c>
      <c r="C396" t="s">
        <v>16</v>
      </c>
      <c r="D396">
        <v>5</v>
      </c>
      <c r="E396" t="str">
        <f t="shared" si="37"/>
        <v>05</v>
      </c>
      <c r="F396">
        <v>7</v>
      </c>
      <c r="G396" t="str">
        <f t="shared" si="38"/>
        <v>07</v>
      </c>
      <c r="H396">
        <v>2011</v>
      </c>
      <c r="I396" t="str">
        <f t="shared" si="39"/>
        <v>201107</v>
      </c>
      <c r="J396" t="str">
        <f t="shared" si="41"/>
        <v>https://www.euro-millions.com/results/05-07-2011</v>
      </c>
      <c r="K396" t="str">
        <f t="shared" si="40"/>
        <v>http://lottery.merseyworld.com/Euro/archive/Lott395.html</v>
      </c>
    </row>
    <row r="397" spans="1:11" x14ac:dyDescent="0.25">
      <c r="A397">
        <v>396</v>
      </c>
      <c r="B397" s="2" t="str">
        <f t="shared" si="36"/>
        <v>08-07-2011</v>
      </c>
      <c r="C397" t="s">
        <v>10</v>
      </c>
      <c r="D397">
        <v>8</v>
      </c>
      <c r="E397" t="str">
        <f t="shared" si="37"/>
        <v>08</v>
      </c>
      <c r="F397">
        <v>7</v>
      </c>
      <c r="G397" t="str">
        <f t="shared" si="38"/>
        <v>07</v>
      </c>
      <c r="H397">
        <v>2011</v>
      </c>
      <c r="I397" t="str">
        <f t="shared" si="39"/>
        <v>201107</v>
      </c>
      <c r="J397" t="str">
        <f t="shared" si="41"/>
        <v>https://www.euro-millions.com/results/08-07-2011</v>
      </c>
      <c r="K397" t="str">
        <f t="shared" si="40"/>
        <v>http://lottery.merseyworld.com/Euro/archive/Lott396.html</v>
      </c>
    </row>
    <row r="398" spans="1:11" x14ac:dyDescent="0.25">
      <c r="A398">
        <v>397</v>
      </c>
      <c r="B398" s="2" t="str">
        <f t="shared" si="36"/>
        <v>12-07-2011</v>
      </c>
      <c r="C398" t="s">
        <v>16</v>
      </c>
      <c r="D398">
        <v>12</v>
      </c>
      <c r="E398" t="str">
        <f t="shared" si="37"/>
        <v>12</v>
      </c>
      <c r="F398">
        <v>7</v>
      </c>
      <c r="G398" t="str">
        <f t="shared" si="38"/>
        <v>07</v>
      </c>
      <c r="H398">
        <v>2011</v>
      </c>
      <c r="I398" t="str">
        <f t="shared" si="39"/>
        <v>201107</v>
      </c>
      <c r="J398" t="str">
        <f t="shared" si="41"/>
        <v>https://www.euro-millions.com/results/12-07-2011</v>
      </c>
      <c r="K398" t="str">
        <f t="shared" si="40"/>
        <v>http://lottery.merseyworld.com/Euro/archive/Lott397.html</v>
      </c>
    </row>
    <row r="399" spans="1:11" x14ac:dyDescent="0.25">
      <c r="A399">
        <v>398</v>
      </c>
      <c r="B399" s="2" t="str">
        <f t="shared" si="36"/>
        <v>15-07-2011</v>
      </c>
      <c r="C399" t="s">
        <v>10</v>
      </c>
      <c r="D399">
        <v>15</v>
      </c>
      <c r="E399" t="str">
        <f t="shared" si="37"/>
        <v>15</v>
      </c>
      <c r="F399">
        <v>7</v>
      </c>
      <c r="G399" t="str">
        <f t="shared" si="38"/>
        <v>07</v>
      </c>
      <c r="H399">
        <v>2011</v>
      </c>
      <c r="I399" t="str">
        <f t="shared" si="39"/>
        <v>201107</v>
      </c>
      <c r="J399" t="str">
        <f t="shared" si="41"/>
        <v>https://www.euro-millions.com/results/15-07-2011</v>
      </c>
      <c r="K399" t="str">
        <f t="shared" si="40"/>
        <v>http://lottery.merseyworld.com/Euro/archive/Lott398.html</v>
      </c>
    </row>
    <row r="400" spans="1:11" x14ac:dyDescent="0.25">
      <c r="A400">
        <v>399</v>
      </c>
      <c r="B400" s="2" t="str">
        <f t="shared" si="36"/>
        <v>19-07-2011</v>
      </c>
      <c r="C400" t="s">
        <v>16</v>
      </c>
      <c r="D400">
        <v>19</v>
      </c>
      <c r="E400" t="str">
        <f t="shared" si="37"/>
        <v>19</v>
      </c>
      <c r="F400">
        <v>7</v>
      </c>
      <c r="G400" t="str">
        <f t="shared" si="38"/>
        <v>07</v>
      </c>
      <c r="H400">
        <v>2011</v>
      </c>
      <c r="I400" t="str">
        <f t="shared" si="39"/>
        <v>201107</v>
      </c>
      <c r="J400" t="str">
        <f t="shared" si="41"/>
        <v>https://www.euro-millions.com/results/19-07-2011</v>
      </c>
      <c r="K400" t="str">
        <f t="shared" si="40"/>
        <v>http://lottery.merseyworld.com/Euro/archive/Lott399.html</v>
      </c>
    </row>
    <row r="401" spans="1:11" x14ac:dyDescent="0.25">
      <c r="A401">
        <v>400</v>
      </c>
      <c r="B401" s="2" t="str">
        <f t="shared" si="36"/>
        <v>22-07-2011</v>
      </c>
      <c r="C401" t="s">
        <v>10</v>
      </c>
      <c r="D401">
        <v>22</v>
      </c>
      <c r="E401" t="str">
        <f t="shared" si="37"/>
        <v>22</v>
      </c>
      <c r="F401">
        <v>7</v>
      </c>
      <c r="G401" t="str">
        <f t="shared" si="38"/>
        <v>07</v>
      </c>
      <c r="H401">
        <v>2011</v>
      </c>
      <c r="I401" t="str">
        <f t="shared" si="39"/>
        <v>201107</v>
      </c>
      <c r="J401" t="str">
        <f t="shared" si="41"/>
        <v>https://www.euro-millions.com/results/22-07-2011</v>
      </c>
      <c r="K401" t="str">
        <f t="shared" si="40"/>
        <v>http://lottery.merseyworld.com/Euro/archive/Lott400.html</v>
      </c>
    </row>
    <row r="402" spans="1:11" x14ac:dyDescent="0.25">
      <c r="A402">
        <v>401</v>
      </c>
      <c r="B402" s="2" t="str">
        <f t="shared" si="36"/>
        <v>26-07-2011</v>
      </c>
      <c r="C402" t="s">
        <v>16</v>
      </c>
      <c r="D402">
        <v>26</v>
      </c>
      <c r="E402" t="str">
        <f t="shared" si="37"/>
        <v>26</v>
      </c>
      <c r="F402">
        <v>7</v>
      </c>
      <c r="G402" t="str">
        <f t="shared" si="38"/>
        <v>07</v>
      </c>
      <c r="H402">
        <v>2011</v>
      </c>
      <c r="I402" t="str">
        <f t="shared" si="39"/>
        <v>201107</v>
      </c>
      <c r="J402" t="str">
        <f t="shared" si="41"/>
        <v>https://www.euro-millions.com/results/26-07-2011</v>
      </c>
      <c r="K402" t="str">
        <f t="shared" si="40"/>
        <v>http://lottery.merseyworld.com/Euro/archive/Lott401.html</v>
      </c>
    </row>
    <row r="403" spans="1:11" x14ac:dyDescent="0.25">
      <c r="A403">
        <v>402</v>
      </c>
      <c r="B403" s="2" t="str">
        <f t="shared" si="36"/>
        <v>29-07-2011</v>
      </c>
      <c r="C403" t="s">
        <v>10</v>
      </c>
      <c r="D403">
        <v>29</v>
      </c>
      <c r="E403" t="str">
        <f t="shared" si="37"/>
        <v>29</v>
      </c>
      <c r="F403">
        <v>7</v>
      </c>
      <c r="G403" t="str">
        <f t="shared" si="38"/>
        <v>07</v>
      </c>
      <c r="H403">
        <v>2011</v>
      </c>
      <c r="I403" t="str">
        <f t="shared" si="39"/>
        <v>201107</v>
      </c>
      <c r="J403" t="str">
        <f t="shared" si="41"/>
        <v>https://www.euro-millions.com/results/29-07-2011</v>
      </c>
      <c r="K403" t="str">
        <f t="shared" si="40"/>
        <v>http://lottery.merseyworld.com/Euro/archive/Lott402.html</v>
      </c>
    </row>
    <row r="404" spans="1:11" x14ac:dyDescent="0.25">
      <c r="A404">
        <v>403</v>
      </c>
      <c r="B404" s="2" t="str">
        <f t="shared" si="36"/>
        <v>02-08-2011</v>
      </c>
      <c r="C404" t="s">
        <v>16</v>
      </c>
      <c r="D404">
        <v>2</v>
      </c>
      <c r="E404" t="str">
        <f t="shared" si="37"/>
        <v>02</v>
      </c>
      <c r="F404">
        <v>8</v>
      </c>
      <c r="G404" t="str">
        <f t="shared" si="38"/>
        <v>08</v>
      </c>
      <c r="H404">
        <v>2011</v>
      </c>
      <c r="I404" t="str">
        <f t="shared" si="39"/>
        <v>201108</v>
      </c>
      <c r="J404" t="str">
        <f t="shared" si="41"/>
        <v>https://www.euro-millions.com/results/02-08-2011</v>
      </c>
      <c r="K404" t="str">
        <f t="shared" si="40"/>
        <v>http://lottery.merseyworld.com/Euro/archive/Lott403.html</v>
      </c>
    </row>
    <row r="405" spans="1:11" x14ac:dyDescent="0.25">
      <c r="A405">
        <v>404</v>
      </c>
      <c r="B405" s="2" t="str">
        <f t="shared" si="36"/>
        <v>05-08-2011</v>
      </c>
      <c r="C405" t="s">
        <v>10</v>
      </c>
      <c r="D405">
        <v>5</v>
      </c>
      <c r="E405" t="str">
        <f t="shared" si="37"/>
        <v>05</v>
      </c>
      <c r="F405">
        <v>8</v>
      </c>
      <c r="G405" t="str">
        <f t="shared" si="38"/>
        <v>08</v>
      </c>
      <c r="H405">
        <v>2011</v>
      </c>
      <c r="I405" t="str">
        <f t="shared" si="39"/>
        <v>201108</v>
      </c>
      <c r="J405" t="str">
        <f t="shared" si="41"/>
        <v>https://www.euro-millions.com/results/05-08-2011</v>
      </c>
      <c r="K405" t="str">
        <f t="shared" si="40"/>
        <v>http://lottery.merseyworld.com/Euro/archive/Lott404.html</v>
      </c>
    </row>
    <row r="406" spans="1:11" x14ac:dyDescent="0.25">
      <c r="A406">
        <v>405</v>
      </c>
      <c r="B406" s="2" t="str">
        <f t="shared" si="36"/>
        <v>09-08-2011</v>
      </c>
      <c r="C406" t="s">
        <v>16</v>
      </c>
      <c r="D406">
        <v>9</v>
      </c>
      <c r="E406" t="str">
        <f t="shared" si="37"/>
        <v>09</v>
      </c>
      <c r="F406">
        <v>8</v>
      </c>
      <c r="G406" t="str">
        <f t="shared" si="38"/>
        <v>08</v>
      </c>
      <c r="H406">
        <v>2011</v>
      </c>
      <c r="I406" t="str">
        <f t="shared" si="39"/>
        <v>201108</v>
      </c>
      <c r="J406" t="str">
        <f t="shared" si="41"/>
        <v>https://www.euro-millions.com/results/09-08-2011</v>
      </c>
      <c r="K406" t="str">
        <f t="shared" si="40"/>
        <v>http://lottery.merseyworld.com/Euro/archive/Lott405.html</v>
      </c>
    </row>
    <row r="407" spans="1:11" x14ac:dyDescent="0.25">
      <c r="A407">
        <v>406</v>
      </c>
      <c r="B407" s="2" t="str">
        <f t="shared" si="36"/>
        <v>12-08-2011</v>
      </c>
      <c r="C407" t="s">
        <v>10</v>
      </c>
      <c r="D407">
        <v>12</v>
      </c>
      <c r="E407" t="str">
        <f t="shared" si="37"/>
        <v>12</v>
      </c>
      <c r="F407">
        <v>8</v>
      </c>
      <c r="G407" t="str">
        <f t="shared" si="38"/>
        <v>08</v>
      </c>
      <c r="H407">
        <v>2011</v>
      </c>
      <c r="I407" t="str">
        <f t="shared" si="39"/>
        <v>201108</v>
      </c>
      <c r="J407" t="str">
        <f t="shared" si="41"/>
        <v>https://www.euro-millions.com/results/12-08-2011</v>
      </c>
      <c r="K407" t="str">
        <f t="shared" si="40"/>
        <v>http://lottery.merseyworld.com/Euro/archive/Lott406.html</v>
      </c>
    </row>
    <row r="408" spans="1:11" x14ac:dyDescent="0.25">
      <c r="A408">
        <v>407</v>
      </c>
      <c r="B408" s="2" t="str">
        <f t="shared" si="36"/>
        <v>16-08-2011</v>
      </c>
      <c r="C408" t="s">
        <v>16</v>
      </c>
      <c r="D408">
        <v>16</v>
      </c>
      <c r="E408" t="str">
        <f t="shared" si="37"/>
        <v>16</v>
      </c>
      <c r="F408">
        <v>8</v>
      </c>
      <c r="G408" t="str">
        <f t="shared" si="38"/>
        <v>08</v>
      </c>
      <c r="H408">
        <v>2011</v>
      </c>
      <c r="I408" t="str">
        <f t="shared" si="39"/>
        <v>201108</v>
      </c>
      <c r="J408" t="str">
        <f t="shared" si="41"/>
        <v>https://www.euro-millions.com/results/16-08-2011</v>
      </c>
      <c r="K408" t="str">
        <f t="shared" si="40"/>
        <v>http://lottery.merseyworld.com/Euro/archive/Lott407.html</v>
      </c>
    </row>
    <row r="409" spans="1:11" x14ac:dyDescent="0.25">
      <c r="A409">
        <v>408</v>
      </c>
      <c r="B409" s="2" t="str">
        <f t="shared" si="36"/>
        <v>19-08-2011</v>
      </c>
      <c r="C409" t="s">
        <v>10</v>
      </c>
      <c r="D409">
        <v>19</v>
      </c>
      <c r="E409" t="str">
        <f t="shared" si="37"/>
        <v>19</v>
      </c>
      <c r="F409">
        <v>8</v>
      </c>
      <c r="G409" t="str">
        <f t="shared" si="38"/>
        <v>08</v>
      </c>
      <c r="H409">
        <v>2011</v>
      </c>
      <c r="I409" t="str">
        <f t="shared" si="39"/>
        <v>201108</v>
      </c>
      <c r="J409" t="str">
        <f t="shared" si="41"/>
        <v>https://www.euro-millions.com/results/19-08-2011</v>
      </c>
      <c r="K409" t="str">
        <f t="shared" si="40"/>
        <v>http://lottery.merseyworld.com/Euro/archive/Lott408.html</v>
      </c>
    </row>
    <row r="410" spans="1:11" x14ac:dyDescent="0.25">
      <c r="A410">
        <v>409</v>
      </c>
      <c r="B410" s="2" t="str">
        <f t="shared" si="36"/>
        <v>23-08-2011</v>
      </c>
      <c r="C410" t="s">
        <v>16</v>
      </c>
      <c r="D410">
        <v>23</v>
      </c>
      <c r="E410" t="str">
        <f t="shared" si="37"/>
        <v>23</v>
      </c>
      <c r="F410">
        <v>8</v>
      </c>
      <c r="G410" t="str">
        <f t="shared" si="38"/>
        <v>08</v>
      </c>
      <c r="H410">
        <v>2011</v>
      </c>
      <c r="I410" t="str">
        <f t="shared" si="39"/>
        <v>201108</v>
      </c>
      <c r="J410" t="str">
        <f t="shared" si="41"/>
        <v>https://www.euro-millions.com/results/23-08-2011</v>
      </c>
      <c r="K410" t="str">
        <f t="shared" si="40"/>
        <v>http://lottery.merseyworld.com/Euro/archive/Lott409.html</v>
      </c>
    </row>
    <row r="411" spans="1:11" x14ac:dyDescent="0.25">
      <c r="A411">
        <v>410</v>
      </c>
      <c r="B411" s="2" t="str">
        <f t="shared" si="36"/>
        <v>26-08-2011</v>
      </c>
      <c r="C411" t="s">
        <v>10</v>
      </c>
      <c r="D411">
        <v>26</v>
      </c>
      <c r="E411" t="str">
        <f t="shared" si="37"/>
        <v>26</v>
      </c>
      <c r="F411">
        <v>8</v>
      </c>
      <c r="G411" t="str">
        <f t="shared" si="38"/>
        <v>08</v>
      </c>
      <c r="H411">
        <v>2011</v>
      </c>
      <c r="I411" t="str">
        <f t="shared" si="39"/>
        <v>201108</v>
      </c>
      <c r="J411" t="str">
        <f t="shared" si="41"/>
        <v>https://www.euro-millions.com/results/26-08-2011</v>
      </c>
      <c r="K411" t="str">
        <f t="shared" si="40"/>
        <v>http://lottery.merseyworld.com/Euro/archive/Lott410.html</v>
      </c>
    </row>
    <row r="412" spans="1:11" x14ac:dyDescent="0.25">
      <c r="A412">
        <v>411</v>
      </c>
      <c r="B412" s="2" t="str">
        <f t="shared" si="36"/>
        <v>30-08-2011</v>
      </c>
      <c r="C412" t="s">
        <v>16</v>
      </c>
      <c r="D412">
        <v>30</v>
      </c>
      <c r="E412" t="str">
        <f t="shared" si="37"/>
        <v>30</v>
      </c>
      <c r="F412">
        <v>8</v>
      </c>
      <c r="G412" t="str">
        <f t="shared" si="38"/>
        <v>08</v>
      </c>
      <c r="H412">
        <v>2011</v>
      </c>
      <c r="I412" t="str">
        <f t="shared" si="39"/>
        <v>201108</v>
      </c>
      <c r="J412" t="str">
        <f t="shared" si="41"/>
        <v>https://www.euro-millions.com/results/30-08-2011</v>
      </c>
      <c r="K412" t="str">
        <f t="shared" si="40"/>
        <v>http://lottery.merseyworld.com/Euro/archive/Lott411.html</v>
      </c>
    </row>
    <row r="413" spans="1:11" x14ac:dyDescent="0.25">
      <c r="A413">
        <v>412</v>
      </c>
      <c r="B413" s="2" t="str">
        <f t="shared" si="36"/>
        <v>02-09-2011</v>
      </c>
      <c r="C413" t="s">
        <v>10</v>
      </c>
      <c r="D413">
        <v>2</v>
      </c>
      <c r="E413" t="str">
        <f t="shared" si="37"/>
        <v>02</v>
      </c>
      <c r="F413">
        <v>9</v>
      </c>
      <c r="G413" t="str">
        <f t="shared" si="38"/>
        <v>09</v>
      </c>
      <c r="H413">
        <v>2011</v>
      </c>
      <c r="I413" t="str">
        <f t="shared" si="39"/>
        <v>201109</v>
      </c>
      <c r="J413" t="str">
        <f t="shared" si="41"/>
        <v>https://www.euro-millions.com/results/02-09-2011</v>
      </c>
      <c r="K413" t="str">
        <f t="shared" si="40"/>
        <v>http://lottery.merseyworld.com/Euro/archive/Lott412.html</v>
      </c>
    </row>
    <row r="414" spans="1:11" x14ac:dyDescent="0.25">
      <c r="A414">
        <v>413</v>
      </c>
      <c r="B414" s="2" t="str">
        <f t="shared" si="36"/>
        <v>06-09-2011</v>
      </c>
      <c r="C414" t="s">
        <v>16</v>
      </c>
      <c r="D414">
        <v>6</v>
      </c>
      <c r="E414" t="str">
        <f t="shared" si="37"/>
        <v>06</v>
      </c>
      <c r="F414">
        <v>9</v>
      </c>
      <c r="G414" t="str">
        <f t="shared" si="38"/>
        <v>09</v>
      </c>
      <c r="H414">
        <v>2011</v>
      </c>
      <c r="I414" t="str">
        <f t="shared" si="39"/>
        <v>201109</v>
      </c>
      <c r="J414" t="str">
        <f t="shared" si="41"/>
        <v>https://www.euro-millions.com/results/06-09-2011</v>
      </c>
      <c r="K414" t="str">
        <f t="shared" si="40"/>
        <v>http://lottery.merseyworld.com/Euro/archive/Lott413.html</v>
      </c>
    </row>
    <row r="415" spans="1:11" x14ac:dyDescent="0.25">
      <c r="A415">
        <v>414</v>
      </c>
      <c r="B415" s="2" t="str">
        <f t="shared" si="36"/>
        <v>09-09-2011</v>
      </c>
      <c r="C415" t="s">
        <v>10</v>
      </c>
      <c r="D415">
        <v>9</v>
      </c>
      <c r="E415" t="str">
        <f t="shared" si="37"/>
        <v>09</v>
      </c>
      <c r="F415">
        <v>9</v>
      </c>
      <c r="G415" t="str">
        <f t="shared" si="38"/>
        <v>09</v>
      </c>
      <c r="H415">
        <v>2011</v>
      </c>
      <c r="I415" t="str">
        <f t="shared" si="39"/>
        <v>201109</v>
      </c>
      <c r="J415" t="str">
        <f t="shared" si="41"/>
        <v>https://www.euro-millions.com/results/09-09-2011</v>
      </c>
      <c r="K415" t="str">
        <f t="shared" si="40"/>
        <v>http://lottery.merseyworld.com/Euro/archive/Lott414.html</v>
      </c>
    </row>
    <row r="416" spans="1:11" x14ac:dyDescent="0.25">
      <c r="A416">
        <v>415</v>
      </c>
      <c r="B416" s="2" t="str">
        <f t="shared" si="36"/>
        <v>13-09-2011</v>
      </c>
      <c r="C416" t="s">
        <v>16</v>
      </c>
      <c r="D416">
        <v>13</v>
      </c>
      <c r="E416" t="str">
        <f t="shared" si="37"/>
        <v>13</v>
      </c>
      <c r="F416">
        <v>9</v>
      </c>
      <c r="G416" t="str">
        <f t="shared" si="38"/>
        <v>09</v>
      </c>
      <c r="H416">
        <v>2011</v>
      </c>
      <c r="I416" t="str">
        <f t="shared" si="39"/>
        <v>201109</v>
      </c>
      <c r="J416" t="str">
        <f t="shared" si="41"/>
        <v>https://www.euro-millions.com/results/13-09-2011</v>
      </c>
      <c r="K416" t="str">
        <f t="shared" si="40"/>
        <v>http://lottery.merseyworld.com/Euro/archive/Lott415.html</v>
      </c>
    </row>
    <row r="417" spans="1:11" x14ac:dyDescent="0.25">
      <c r="A417">
        <v>416</v>
      </c>
      <c r="B417" s="2" t="str">
        <f t="shared" si="36"/>
        <v>16-09-2011</v>
      </c>
      <c r="C417" t="s">
        <v>10</v>
      </c>
      <c r="D417">
        <v>16</v>
      </c>
      <c r="E417" t="str">
        <f t="shared" si="37"/>
        <v>16</v>
      </c>
      <c r="F417">
        <v>9</v>
      </c>
      <c r="G417" t="str">
        <f t="shared" si="38"/>
        <v>09</v>
      </c>
      <c r="H417">
        <v>2011</v>
      </c>
      <c r="I417" t="str">
        <f t="shared" si="39"/>
        <v>201109</v>
      </c>
      <c r="J417" t="str">
        <f t="shared" si="41"/>
        <v>https://www.euro-millions.com/results/16-09-2011</v>
      </c>
      <c r="K417" t="str">
        <f t="shared" si="40"/>
        <v>http://lottery.merseyworld.com/Euro/archive/Lott416.html</v>
      </c>
    </row>
    <row r="418" spans="1:11" x14ac:dyDescent="0.25">
      <c r="A418">
        <v>417</v>
      </c>
      <c r="B418" s="2" t="str">
        <f t="shared" si="36"/>
        <v>20-09-2011</v>
      </c>
      <c r="C418" t="s">
        <v>16</v>
      </c>
      <c r="D418">
        <v>20</v>
      </c>
      <c r="E418" t="str">
        <f t="shared" si="37"/>
        <v>20</v>
      </c>
      <c r="F418">
        <v>9</v>
      </c>
      <c r="G418" t="str">
        <f t="shared" si="38"/>
        <v>09</v>
      </c>
      <c r="H418">
        <v>2011</v>
      </c>
      <c r="I418" t="str">
        <f t="shared" si="39"/>
        <v>201109</v>
      </c>
      <c r="J418" t="str">
        <f t="shared" si="41"/>
        <v>https://www.euro-millions.com/results/20-09-2011</v>
      </c>
      <c r="K418" t="str">
        <f t="shared" si="40"/>
        <v>http://lottery.merseyworld.com/Euro/archive/Lott417.html</v>
      </c>
    </row>
    <row r="419" spans="1:11" x14ac:dyDescent="0.25">
      <c r="A419">
        <v>418</v>
      </c>
      <c r="B419" s="2" t="str">
        <f t="shared" si="36"/>
        <v>23-09-2011</v>
      </c>
      <c r="C419" t="s">
        <v>10</v>
      </c>
      <c r="D419">
        <v>23</v>
      </c>
      <c r="E419" t="str">
        <f t="shared" si="37"/>
        <v>23</v>
      </c>
      <c r="F419">
        <v>9</v>
      </c>
      <c r="G419" t="str">
        <f t="shared" si="38"/>
        <v>09</v>
      </c>
      <c r="H419">
        <v>2011</v>
      </c>
      <c r="I419" t="str">
        <f t="shared" si="39"/>
        <v>201109</v>
      </c>
      <c r="J419" t="str">
        <f t="shared" si="41"/>
        <v>https://www.euro-millions.com/results/23-09-2011</v>
      </c>
      <c r="K419" t="str">
        <f t="shared" si="40"/>
        <v>http://lottery.merseyworld.com/Euro/archive/Lott418.html</v>
      </c>
    </row>
    <row r="420" spans="1:11" x14ac:dyDescent="0.25">
      <c r="A420">
        <v>419</v>
      </c>
      <c r="B420" s="2" t="str">
        <f t="shared" si="36"/>
        <v>27-09-2011</v>
      </c>
      <c r="C420" t="s">
        <v>16</v>
      </c>
      <c r="D420">
        <v>27</v>
      </c>
      <c r="E420" t="str">
        <f t="shared" si="37"/>
        <v>27</v>
      </c>
      <c r="F420">
        <v>9</v>
      </c>
      <c r="G420" t="str">
        <f t="shared" si="38"/>
        <v>09</v>
      </c>
      <c r="H420">
        <v>2011</v>
      </c>
      <c r="I420" t="str">
        <f t="shared" si="39"/>
        <v>201109</v>
      </c>
      <c r="J420" t="str">
        <f t="shared" si="41"/>
        <v>https://www.euro-millions.com/results/27-09-2011</v>
      </c>
      <c r="K420" t="str">
        <f t="shared" si="40"/>
        <v>http://lottery.merseyworld.com/Euro/archive/Lott419.html</v>
      </c>
    </row>
    <row r="421" spans="1:11" x14ac:dyDescent="0.25">
      <c r="A421">
        <v>420</v>
      </c>
      <c r="B421" s="2" t="str">
        <f t="shared" si="36"/>
        <v>30-09-2011</v>
      </c>
      <c r="C421" t="s">
        <v>10</v>
      </c>
      <c r="D421">
        <v>30</v>
      </c>
      <c r="E421" t="str">
        <f t="shared" si="37"/>
        <v>30</v>
      </c>
      <c r="F421">
        <v>9</v>
      </c>
      <c r="G421" t="str">
        <f t="shared" si="38"/>
        <v>09</v>
      </c>
      <c r="H421">
        <v>2011</v>
      </c>
      <c r="I421" t="str">
        <f t="shared" si="39"/>
        <v>201109</v>
      </c>
      <c r="J421" t="str">
        <f t="shared" si="41"/>
        <v>https://www.euro-millions.com/results/30-09-2011</v>
      </c>
      <c r="K421" t="str">
        <f t="shared" si="40"/>
        <v>http://lottery.merseyworld.com/Euro/archive/Lott420.html</v>
      </c>
    </row>
    <row r="422" spans="1:11" x14ac:dyDescent="0.25">
      <c r="A422">
        <v>421</v>
      </c>
      <c r="B422" s="2" t="str">
        <f t="shared" si="36"/>
        <v>04-10-2011</v>
      </c>
      <c r="C422" t="s">
        <v>16</v>
      </c>
      <c r="D422">
        <v>4</v>
      </c>
      <c r="E422" t="str">
        <f t="shared" si="37"/>
        <v>04</v>
      </c>
      <c r="F422">
        <v>10</v>
      </c>
      <c r="G422" t="str">
        <f t="shared" si="38"/>
        <v>10</v>
      </c>
      <c r="H422">
        <v>2011</v>
      </c>
      <c r="I422" t="str">
        <f t="shared" si="39"/>
        <v>201110</v>
      </c>
      <c r="J422" t="str">
        <f t="shared" si="41"/>
        <v>https://www.euro-millions.com/results/04-10-2011</v>
      </c>
      <c r="K422" t="str">
        <f t="shared" si="40"/>
        <v>http://lottery.merseyworld.com/Euro/archive/Lott421.html</v>
      </c>
    </row>
    <row r="423" spans="1:11" x14ac:dyDescent="0.25">
      <c r="A423">
        <v>422</v>
      </c>
      <c r="B423" s="2" t="str">
        <f t="shared" si="36"/>
        <v>07-10-2011</v>
      </c>
      <c r="C423" t="s">
        <v>10</v>
      </c>
      <c r="D423">
        <v>7</v>
      </c>
      <c r="E423" t="str">
        <f t="shared" si="37"/>
        <v>07</v>
      </c>
      <c r="F423">
        <v>10</v>
      </c>
      <c r="G423" t="str">
        <f t="shared" si="38"/>
        <v>10</v>
      </c>
      <c r="H423">
        <v>2011</v>
      </c>
      <c r="I423" t="str">
        <f t="shared" si="39"/>
        <v>201110</v>
      </c>
      <c r="J423" t="str">
        <f t="shared" si="41"/>
        <v>https://www.euro-millions.com/results/07-10-2011</v>
      </c>
      <c r="K423" t="str">
        <f t="shared" si="40"/>
        <v>http://lottery.merseyworld.com/Euro/archive/Lott422.html</v>
      </c>
    </row>
    <row r="424" spans="1:11" x14ac:dyDescent="0.25">
      <c r="A424">
        <v>423</v>
      </c>
      <c r="B424" s="2" t="str">
        <f t="shared" si="36"/>
        <v>11-10-2011</v>
      </c>
      <c r="C424" t="s">
        <v>16</v>
      </c>
      <c r="D424">
        <v>11</v>
      </c>
      <c r="E424" t="str">
        <f t="shared" si="37"/>
        <v>11</v>
      </c>
      <c r="F424">
        <v>10</v>
      </c>
      <c r="G424" t="str">
        <f t="shared" si="38"/>
        <v>10</v>
      </c>
      <c r="H424">
        <v>2011</v>
      </c>
      <c r="I424" t="str">
        <f t="shared" si="39"/>
        <v>201110</v>
      </c>
      <c r="J424" t="str">
        <f t="shared" si="41"/>
        <v>https://www.euro-millions.com/results/11-10-2011</v>
      </c>
      <c r="K424" t="str">
        <f t="shared" si="40"/>
        <v>http://lottery.merseyworld.com/Euro/archive/Lott423.html</v>
      </c>
    </row>
    <row r="425" spans="1:11" x14ac:dyDescent="0.25">
      <c r="A425">
        <v>424</v>
      </c>
      <c r="B425" s="2" t="str">
        <f t="shared" si="36"/>
        <v>14-10-2011</v>
      </c>
      <c r="C425" t="s">
        <v>10</v>
      </c>
      <c r="D425">
        <v>14</v>
      </c>
      <c r="E425" t="str">
        <f t="shared" si="37"/>
        <v>14</v>
      </c>
      <c r="F425">
        <v>10</v>
      </c>
      <c r="G425" t="str">
        <f t="shared" si="38"/>
        <v>10</v>
      </c>
      <c r="H425">
        <v>2011</v>
      </c>
      <c r="I425" t="str">
        <f t="shared" si="39"/>
        <v>201110</v>
      </c>
      <c r="J425" t="str">
        <f t="shared" si="41"/>
        <v>https://www.euro-millions.com/results/14-10-2011</v>
      </c>
      <c r="K425" t="str">
        <f t="shared" si="40"/>
        <v>http://lottery.merseyworld.com/Euro/archive/Lott424.html</v>
      </c>
    </row>
    <row r="426" spans="1:11" x14ac:dyDescent="0.25">
      <c r="A426">
        <v>425</v>
      </c>
      <c r="B426" s="2" t="str">
        <f t="shared" si="36"/>
        <v>18-10-2011</v>
      </c>
      <c r="C426" t="s">
        <v>16</v>
      </c>
      <c r="D426">
        <v>18</v>
      </c>
      <c r="E426" t="str">
        <f t="shared" si="37"/>
        <v>18</v>
      </c>
      <c r="F426">
        <v>10</v>
      </c>
      <c r="G426" t="str">
        <f t="shared" si="38"/>
        <v>10</v>
      </c>
      <c r="H426">
        <v>2011</v>
      </c>
      <c r="I426" t="str">
        <f t="shared" si="39"/>
        <v>201110</v>
      </c>
      <c r="J426" t="str">
        <f t="shared" si="41"/>
        <v>https://www.euro-millions.com/results/18-10-2011</v>
      </c>
      <c r="K426" t="str">
        <f t="shared" si="40"/>
        <v>http://lottery.merseyworld.com/Euro/archive/Lott425.html</v>
      </c>
    </row>
    <row r="427" spans="1:11" x14ac:dyDescent="0.25">
      <c r="A427">
        <v>426</v>
      </c>
      <c r="B427" s="2" t="str">
        <f t="shared" si="36"/>
        <v>21-10-2011</v>
      </c>
      <c r="C427" t="s">
        <v>10</v>
      </c>
      <c r="D427">
        <v>21</v>
      </c>
      <c r="E427" t="str">
        <f t="shared" si="37"/>
        <v>21</v>
      </c>
      <c r="F427">
        <v>10</v>
      </c>
      <c r="G427" t="str">
        <f t="shared" si="38"/>
        <v>10</v>
      </c>
      <c r="H427">
        <v>2011</v>
      </c>
      <c r="I427" t="str">
        <f t="shared" si="39"/>
        <v>201110</v>
      </c>
      <c r="J427" t="str">
        <f t="shared" si="41"/>
        <v>https://www.euro-millions.com/results/21-10-2011</v>
      </c>
      <c r="K427" t="str">
        <f t="shared" si="40"/>
        <v>http://lottery.merseyworld.com/Euro/archive/Lott426.html</v>
      </c>
    </row>
    <row r="428" spans="1:11" x14ac:dyDescent="0.25">
      <c r="A428">
        <v>427</v>
      </c>
      <c r="B428" s="2" t="str">
        <f t="shared" si="36"/>
        <v>25-10-2011</v>
      </c>
      <c r="C428" t="s">
        <v>16</v>
      </c>
      <c r="D428">
        <v>25</v>
      </c>
      <c r="E428" t="str">
        <f t="shared" si="37"/>
        <v>25</v>
      </c>
      <c r="F428">
        <v>10</v>
      </c>
      <c r="G428" t="str">
        <f t="shared" si="38"/>
        <v>10</v>
      </c>
      <c r="H428">
        <v>2011</v>
      </c>
      <c r="I428" t="str">
        <f t="shared" si="39"/>
        <v>201110</v>
      </c>
      <c r="J428" t="str">
        <f t="shared" si="41"/>
        <v>https://www.euro-millions.com/results/25-10-2011</v>
      </c>
      <c r="K428" t="str">
        <f t="shared" si="40"/>
        <v>http://lottery.merseyworld.com/Euro/archive/Lott427.html</v>
      </c>
    </row>
    <row r="429" spans="1:11" x14ac:dyDescent="0.25">
      <c r="A429">
        <v>428</v>
      </c>
      <c r="B429" s="2" t="str">
        <f t="shared" si="36"/>
        <v>28-10-2011</v>
      </c>
      <c r="C429" t="s">
        <v>10</v>
      </c>
      <c r="D429">
        <v>28</v>
      </c>
      <c r="E429" t="str">
        <f t="shared" si="37"/>
        <v>28</v>
      </c>
      <c r="F429">
        <v>10</v>
      </c>
      <c r="G429" t="str">
        <f t="shared" si="38"/>
        <v>10</v>
      </c>
      <c r="H429">
        <v>2011</v>
      </c>
      <c r="I429" t="str">
        <f t="shared" si="39"/>
        <v>201110</v>
      </c>
      <c r="J429" t="str">
        <f t="shared" si="41"/>
        <v>https://www.euro-millions.com/results/28-10-2011</v>
      </c>
      <c r="K429" t="str">
        <f t="shared" si="40"/>
        <v>http://lottery.merseyworld.com/Euro/archive/Lott428.html</v>
      </c>
    </row>
    <row r="430" spans="1:11" x14ac:dyDescent="0.25">
      <c r="A430">
        <v>429</v>
      </c>
      <c r="B430" s="2" t="str">
        <f t="shared" si="36"/>
        <v>01-11-2011</v>
      </c>
      <c r="C430" t="s">
        <v>16</v>
      </c>
      <c r="D430">
        <v>1</v>
      </c>
      <c r="E430" t="str">
        <f t="shared" si="37"/>
        <v>01</v>
      </c>
      <c r="F430">
        <v>11</v>
      </c>
      <c r="G430" t="str">
        <f t="shared" si="38"/>
        <v>11</v>
      </c>
      <c r="H430">
        <v>2011</v>
      </c>
      <c r="I430" t="str">
        <f t="shared" si="39"/>
        <v>201111</v>
      </c>
      <c r="J430" t="str">
        <f t="shared" si="41"/>
        <v>https://www.euro-millions.com/results/01-11-2011</v>
      </c>
      <c r="K430" t="str">
        <f t="shared" si="40"/>
        <v>http://lottery.merseyworld.com/Euro/archive/Lott429.html</v>
      </c>
    </row>
    <row r="431" spans="1:11" x14ac:dyDescent="0.25">
      <c r="A431">
        <v>430</v>
      </c>
      <c r="B431" s="2" t="str">
        <f t="shared" si="36"/>
        <v>04-11-2011</v>
      </c>
      <c r="C431" t="s">
        <v>10</v>
      </c>
      <c r="D431">
        <v>4</v>
      </c>
      <c r="E431" t="str">
        <f t="shared" si="37"/>
        <v>04</v>
      </c>
      <c r="F431">
        <v>11</v>
      </c>
      <c r="G431" t="str">
        <f t="shared" si="38"/>
        <v>11</v>
      </c>
      <c r="H431">
        <v>2011</v>
      </c>
      <c r="I431" t="str">
        <f t="shared" si="39"/>
        <v>201111</v>
      </c>
      <c r="J431" t="str">
        <f t="shared" si="41"/>
        <v>https://www.euro-millions.com/results/04-11-2011</v>
      </c>
      <c r="K431" t="str">
        <f t="shared" si="40"/>
        <v>http://lottery.merseyworld.com/Euro/archive/Lott430.html</v>
      </c>
    </row>
    <row r="432" spans="1:11" x14ac:dyDescent="0.25">
      <c r="A432">
        <v>431</v>
      </c>
      <c r="B432" s="2" t="str">
        <f t="shared" si="36"/>
        <v>08-11-2011</v>
      </c>
      <c r="C432" t="s">
        <v>16</v>
      </c>
      <c r="D432">
        <v>8</v>
      </c>
      <c r="E432" t="str">
        <f t="shared" si="37"/>
        <v>08</v>
      </c>
      <c r="F432">
        <v>11</v>
      </c>
      <c r="G432" t="str">
        <f t="shared" si="38"/>
        <v>11</v>
      </c>
      <c r="H432">
        <v>2011</v>
      </c>
      <c r="I432" t="str">
        <f t="shared" si="39"/>
        <v>201111</v>
      </c>
      <c r="J432" t="str">
        <f t="shared" si="41"/>
        <v>https://www.euro-millions.com/results/08-11-2011</v>
      </c>
      <c r="K432" t="str">
        <f t="shared" si="40"/>
        <v>http://lottery.merseyworld.com/Euro/archive/Lott431.html</v>
      </c>
    </row>
    <row r="433" spans="1:11" x14ac:dyDescent="0.25">
      <c r="A433">
        <v>432</v>
      </c>
      <c r="B433" s="2" t="str">
        <f t="shared" si="36"/>
        <v>11-11-2011</v>
      </c>
      <c r="C433" t="s">
        <v>10</v>
      </c>
      <c r="D433">
        <v>11</v>
      </c>
      <c r="E433" t="str">
        <f t="shared" si="37"/>
        <v>11</v>
      </c>
      <c r="F433">
        <v>11</v>
      </c>
      <c r="G433" t="str">
        <f t="shared" si="38"/>
        <v>11</v>
      </c>
      <c r="H433">
        <v>2011</v>
      </c>
      <c r="I433" t="str">
        <f t="shared" si="39"/>
        <v>201111</v>
      </c>
      <c r="J433" t="str">
        <f t="shared" si="41"/>
        <v>https://www.euro-millions.com/results/11-11-2011</v>
      </c>
      <c r="K433" t="str">
        <f t="shared" si="40"/>
        <v>http://lottery.merseyworld.com/Euro/archive/Lott432.html</v>
      </c>
    </row>
    <row r="434" spans="1:11" x14ac:dyDescent="0.25">
      <c r="A434">
        <v>433</v>
      </c>
      <c r="B434" s="2" t="str">
        <f t="shared" si="36"/>
        <v>15-11-2011</v>
      </c>
      <c r="C434" t="s">
        <v>16</v>
      </c>
      <c r="D434">
        <v>15</v>
      </c>
      <c r="E434" t="str">
        <f t="shared" si="37"/>
        <v>15</v>
      </c>
      <c r="F434">
        <v>11</v>
      </c>
      <c r="G434" t="str">
        <f t="shared" si="38"/>
        <v>11</v>
      </c>
      <c r="H434">
        <v>2011</v>
      </c>
      <c r="I434" t="str">
        <f t="shared" si="39"/>
        <v>201111</v>
      </c>
      <c r="J434" t="str">
        <f t="shared" si="41"/>
        <v>https://www.euro-millions.com/results/15-11-2011</v>
      </c>
      <c r="K434" t="str">
        <f t="shared" si="40"/>
        <v>http://lottery.merseyworld.com/Euro/archive/Lott433.html</v>
      </c>
    </row>
    <row r="435" spans="1:11" x14ac:dyDescent="0.25">
      <c r="A435">
        <v>434</v>
      </c>
      <c r="B435" s="2" t="str">
        <f t="shared" si="36"/>
        <v>18-11-2011</v>
      </c>
      <c r="C435" t="s">
        <v>10</v>
      </c>
      <c r="D435">
        <v>18</v>
      </c>
      <c r="E435" t="str">
        <f t="shared" si="37"/>
        <v>18</v>
      </c>
      <c r="F435">
        <v>11</v>
      </c>
      <c r="G435" t="str">
        <f t="shared" si="38"/>
        <v>11</v>
      </c>
      <c r="H435">
        <v>2011</v>
      </c>
      <c r="I435" t="str">
        <f t="shared" si="39"/>
        <v>201111</v>
      </c>
      <c r="J435" t="str">
        <f t="shared" si="41"/>
        <v>https://www.euro-millions.com/results/18-11-2011</v>
      </c>
      <c r="K435" t="str">
        <f t="shared" si="40"/>
        <v>http://lottery.merseyworld.com/Euro/archive/Lott434.html</v>
      </c>
    </row>
    <row r="436" spans="1:11" x14ac:dyDescent="0.25">
      <c r="A436">
        <v>435</v>
      </c>
      <c r="B436" s="2" t="str">
        <f t="shared" si="36"/>
        <v>22-11-2011</v>
      </c>
      <c r="C436" t="s">
        <v>16</v>
      </c>
      <c r="D436">
        <v>22</v>
      </c>
      <c r="E436" t="str">
        <f t="shared" si="37"/>
        <v>22</v>
      </c>
      <c r="F436">
        <v>11</v>
      </c>
      <c r="G436" t="str">
        <f t="shared" si="38"/>
        <v>11</v>
      </c>
      <c r="H436">
        <v>2011</v>
      </c>
      <c r="I436" t="str">
        <f t="shared" si="39"/>
        <v>201111</v>
      </c>
      <c r="J436" t="str">
        <f t="shared" si="41"/>
        <v>https://www.euro-millions.com/results/22-11-2011</v>
      </c>
      <c r="K436" t="str">
        <f t="shared" si="40"/>
        <v>http://lottery.merseyworld.com/Euro/archive/Lott435.html</v>
      </c>
    </row>
    <row r="437" spans="1:11" x14ac:dyDescent="0.25">
      <c r="A437">
        <v>436</v>
      </c>
      <c r="B437" s="2" t="str">
        <f t="shared" si="36"/>
        <v>25-11-2011</v>
      </c>
      <c r="C437" t="s">
        <v>10</v>
      </c>
      <c r="D437">
        <v>25</v>
      </c>
      <c r="E437" t="str">
        <f t="shared" si="37"/>
        <v>25</v>
      </c>
      <c r="F437">
        <v>11</v>
      </c>
      <c r="G437" t="str">
        <f t="shared" si="38"/>
        <v>11</v>
      </c>
      <c r="H437">
        <v>2011</v>
      </c>
      <c r="I437" t="str">
        <f t="shared" si="39"/>
        <v>201111</v>
      </c>
      <c r="J437" t="str">
        <f t="shared" si="41"/>
        <v>https://www.euro-millions.com/results/25-11-2011</v>
      </c>
      <c r="K437" t="str">
        <f t="shared" si="40"/>
        <v>http://lottery.merseyworld.com/Euro/archive/Lott436.html</v>
      </c>
    </row>
    <row r="438" spans="1:11" x14ac:dyDescent="0.25">
      <c r="A438">
        <v>437</v>
      </c>
      <c r="B438" s="2" t="str">
        <f t="shared" si="36"/>
        <v>29-11-2011</v>
      </c>
      <c r="C438" t="s">
        <v>16</v>
      </c>
      <c r="D438">
        <v>29</v>
      </c>
      <c r="E438" t="str">
        <f t="shared" si="37"/>
        <v>29</v>
      </c>
      <c r="F438">
        <v>11</v>
      </c>
      <c r="G438" t="str">
        <f t="shared" si="38"/>
        <v>11</v>
      </c>
      <c r="H438">
        <v>2011</v>
      </c>
      <c r="I438" t="str">
        <f t="shared" si="39"/>
        <v>201111</v>
      </c>
      <c r="J438" t="str">
        <f t="shared" si="41"/>
        <v>https://www.euro-millions.com/results/29-11-2011</v>
      </c>
      <c r="K438" t="str">
        <f t="shared" si="40"/>
        <v>http://lottery.merseyworld.com/Euro/archive/Lott437.html</v>
      </c>
    </row>
    <row r="439" spans="1:11" x14ac:dyDescent="0.25">
      <c r="A439">
        <v>438</v>
      </c>
      <c r="B439" s="2" t="str">
        <f t="shared" si="36"/>
        <v>02-12-2011</v>
      </c>
      <c r="C439" t="s">
        <v>10</v>
      </c>
      <c r="D439">
        <v>2</v>
      </c>
      <c r="E439" t="str">
        <f t="shared" si="37"/>
        <v>02</v>
      </c>
      <c r="F439">
        <v>12</v>
      </c>
      <c r="G439" t="str">
        <f t="shared" si="38"/>
        <v>12</v>
      </c>
      <c r="H439">
        <v>2011</v>
      </c>
      <c r="I439" t="str">
        <f t="shared" si="39"/>
        <v>201112</v>
      </c>
      <c r="J439" t="str">
        <f t="shared" si="41"/>
        <v>https://www.euro-millions.com/results/02-12-2011</v>
      </c>
      <c r="K439" t="str">
        <f t="shared" si="40"/>
        <v>http://lottery.merseyworld.com/Euro/archive/Lott438.html</v>
      </c>
    </row>
    <row r="440" spans="1:11" x14ac:dyDescent="0.25">
      <c r="A440">
        <v>439</v>
      </c>
      <c r="B440" s="2" t="str">
        <f t="shared" si="36"/>
        <v>06-12-2011</v>
      </c>
      <c r="C440" t="s">
        <v>16</v>
      </c>
      <c r="D440">
        <v>6</v>
      </c>
      <c r="E440" t="str">
        <f t="shared" si="37"/>
        <v>06</v>
      </c>
      <c r="F440">
        <v>12</v>
      </c>
      <c r="G440" t="str">
        <f t="shared" si="38"/>
        <v>12</v>
      </c>
      <c r="H440">
        <v>2011</v>
      </c>
      <c r="I440" t="str">
        <f t="shared" si="39"/>
        <v>201112</v>
      </c>
      <c r="J440" t="str">
        <f t="shared" si="41"/>
        <v>https://www.euro-millions.com/results/06-12-2011</v>
      </c>
      <c r="K440" t="str">
        <f t="shared" si="40"/>
        <v>http://lottery.merseyworld.com/Euro/archive/Lott439.html</v>
      </c>
    </row>
    <row r="441" spans="1:11" x14ac:dyDescent="0.25">
      <c r="A441">
        <v>440</v>
      </c>
      <c r="B441" s="2" t="str">
        <f t="shared" si="36"/>
        <v>09-12-2011</v>
      </c>
      <c r="C441" t="s">
        <v>10</v>
      </c>
      <c r="D441">
        <v>9</v>
      </c>
      <c r="E441" t="str">
        <f t="shared" si="37"/>
        <v>09</v>
      </c>
      <c r="F441">
        <v>12</v>
      </c>
      <c r="G441" t="str">
        <f t="shared" si="38"/>
        <v>12</v>
      </c>
      <c r="H441">
        <v>2011</v>
      </c>
      <c r="I441" t="str">
        <f t="shared" si="39"/>
        <v>201112</v>
      </c>
      <c r="J441" t="str">
        <f t="shared" si="41"/>
        <v>https://www.euro-millions.com/results/09-12-2011</v>
      </c>
      <c r="K441" t="str">
        <f t="shared" si="40"/>
        <v>http://lottery.merseyworld.com/Euro/archive/Lott440.html</v>
      </c>
    </row>
    <row r="442" spans="1:11" x14ac:dyDescent="0.25">
      <c r="A442">
        <v>441</v>
      </c>
      <c r="B442" s="2" t="str">
        <f t="shared" si="36"/>
        <v>13-12-2011</v>
      </c>
      <c r="C442" t="s">
        <v>16</v>
      </c>
      <c r="D442">
        <v>13</v>
      </c>
      <c r="E442" t="str">
        <f t="shared" si="37"/>
        <v>13</v>
      </c>
      <c r="F442">
        <v>12</v>
      </c>
      <c r="G442" t="str">
        <f t="shared" si="38"/>
        <v>12</v>
      </c>
      <c r="H442">
        <v>2011</v>
      </c>
      <c r="I442" t="str">
        <f t="shared" si="39"/>
        <v>201112</v>
      </c>
      <c r="J442" t="str">
        <f t="shared" si="41"/>
        <v>https://www.euro-millions.com/results/13-12-2011</v>
      </c>
      <c r="K442" t="str">
        <f t="shared" si="40"/>
        <v>http://lottery.merseyworld.com/Euro/archive/Lott441.html</v>
      </c>
    </row>
    <row r="443" spans="1:11" x14ac:dyDescent="0.25">
      <c r="A443">
        <v>442</v>
      </c>
      <c r="B443" s="2" t="str">
        <f t="shared" si="36"/>
        <v>16-12-2011</v>
      </c>
      <c r="C443" t="s">
        <v>10</v>
      </c>
      <c r="D443">
        <v>16</v>
      </c>
      <c r="E443" t="str">
        <f t="shared" si="37"/>
        <v>16</v>
      </c>
      <c r="F443">
        <v>12</v>
      </c>
      <c r="G443" t="str">
        <f t="shared" si="38"/>
        <v>12</v>
      </c>
      <c r="H443">
        <v>2011</v>
      </c>
      <c r="I443" t="str">
        <f t="shared" si="39"/>
        <v>201112</v>
      </c>
      <c r="J443" t="str">
        <f t="shared" si="41"/>
        <v>https://www.euro-millions.com/results/16-12-2011</v>
      </c>
      <c r="K443" t="str">
        <f t="shared" si="40"/>
        <v>http://lottery.merseyworld.com/Euro/archive/Lott442.html</v>
      </c>
    </row>
    <row r="444" spans="1:11" x14ac:dyDescent="0.25">
      <c r="A444">
        <v>443</v>
      </c>
      <c r="B444" s="2" t="str">
        <f t="shared" si="36"/>
        <v>20-12-2011</v>
      </c>
      <c r="C444" t="s">
        <v>16</v>
      </c>
      <c r="D444">
        <v>20</v>
      </c>
      <c r="E444" t="str">
        <f t="shared" si="37"/>
        <v>20</v>
      </c>
      <c r="F444">
        <v>12</v>
      </c>
      <c r="G444" t="str">
        <f t="shared" si="38"/>
        <v>12</v>
      </c>
      <c r="H444">
        <v>2011</v>
      </c>
      <c r="I444" t="str">
        <f t="shared" si="39"/>
        <v>201112</v>
      </c>
      <c r="J444" t="str">
        <f t="shared" si="41"/>
        <v>https://www.euro-millions.com/results/20-12-2011</v>
      </c>
      <c r="K444" t="str">
        <f t="shared" si="40"/>
        <v>http://lottery.merseyworld.com/Euro/archive/Lott443.html</v>
      </c>
    </row>
    <row r="445" spans="1:11" x14ac:dyDescent="0.25">
      <c r="A445">
        <v>444</v>
      </c>
      <c r="B445" s="2" t="str">
        <f t="shared" si="36"/>
        <v>23-12-2011</v>
      </c>
      <c r="C445" t="s">
        <v>10</v>
      </c>
      <c r="D445">
        <v>23</v>
      </c>
      <c r="E445" t="str">
        <f t="shared" si="37"/>
        <v>23</v>
      </c>
      <c r="F445">
        <v>12</v>
      </c>
      <c r="G445" t="str">
        <f t="shared" si="38"/>
        <v>12</v>
      </c>
      <c r="H445">
        <v>2011</v>
      </c>
      <c r="I445" t="str">
        <f t="shared" si="39"/>
        <v>201112</v>
      </c>
      <c r="J445" t="str">
        <f t="shared" si="41"/>
        <v>https://www.euro-millions.com/results/23-12-2011</v>
      </c>
      <c r="K445" t="str">
        <f t="shared" si="40"/>
        <v>http://lottery.merseyworld.com/Euro/archive/Lott444.html</v>
      </c>
    </row>
    <row r="446" spans="1:11" x14ac:dyDescent="0.25">
      <c r="A446">
        <v>445</v>
      </c>
      <c r="B446" s="2" t="str">
        <f t="shared" si="36"/>
        <v>27-12-2011</v>
      </c>
      <c r="C446" t="s">
        <v>16</v>
      </c>
      <c r="D446">
        <v>27</v>
      </c>
      <c r="E446" t="str">
        <f t="shared" si="37"/>
        <v>27</v>
      </c>
      <c r="F446">
        <v>12</v>
      </c>
      <c r="G446" t="str">
        <f t="shared" si="38"/>
        <v>12</v>
      </c>
      <c r="H446">
        <v>2011</v>
      </c>
      <c r="I446" t="str">
        <f t="shared" si="39"/>
        <v>201112</v>
      </c>
      <c r="J446" t="str">
        <f t="shared" si="41"/>
        <v>https://www.euro-millions.com/results/27-12-2011</v>
      </c>
      <c r="K446" t="str">
        <f t="shared" si="40"/>
        <v>http://lottery.merseyworld.com/Euro/archive/Lott445.html</v>
      </c>
    </row>
    <row r="447" spans="1:11" x14ac:dyDescent="0.25">
      <c r="A447">
        <v>446</v>
      </c>
      <c r="B447" s="2" t="str">
        <f t="shared" si="36"/>
        <v>30-12-2011</v>
      </c>
      <c r="C447" t="s">
        <v>10</v>
      </c>
      <c r="D447">
        <v>30</v>
      </c>
      <c r="E447" t="str">
        <f t="shared" si="37"/>
        <v>30</v>
      </c>
      <c r="F447">
        <v>12</v>
      </c>
      <c r="G447" t="str">
        <f t="shared" si="38"/>
        <v>12</v>
      </c>
      <c r="H447">
        <v>2011</v>
      </c>
      <c r="I447" t="str">
        <f t="shared" si="39"/>
        <v>201112</v>
      </c>
      <c r="J447" t="str">
        <f t="shared" si="41"/>
        <v>https://www.euro-millions.com/results/30-12-2011</v>
      </c>
      <c r="K447" t="str">
        <f t="shared" si="40"/>
        <v>http://lottery.merseyworld.com/Euro/archive/Lott446.html</v>
      </c>
    </row>
    <row r="448" spans="1:11" x14ac:dyDescent="0.25">
      <c r="A448">
        <v>447</v>
      </c>
      <c r="B448" s="2" t="str">
        <f t="shared" si="36"/>
        <v>03-01-2012</v>
      </c>
      <c r="C448" t="s">
        <v>16</v>
      </c>
      <c r="D448">
        <v>3</v>
      </c>
      <c r="E448" t="str">
        <f t="shared" si="37"/>
        <v>03</v>
      </c>
      <c r="F448">
        <v>1</v>
      </c>
      <c r="G448" t="str">
        <f t="shared" si="38"/>
        <v>01</v>
      </c>
      <c r="H448">
        <v>2012</v>
      </c>
      <c r="I448" t="str">
        <f t="shared" si="39"/>
        <v>201201</v>
      </c>
      <c r="J448" t="str">
        <f t="shared" si="41"/>
        <v>https://www.euro-millions.com/results/03-01-2012</v>
      </c>
      <c r="K448" t="str">
        <f t="shared" si="40"/>
        <v>http://lottery.merseyworld.com/Euro/archive/Lott447.html</v>
      </c>
    </row>
    <row r="449" spans="1:11" x14ac:dyDescent="0.25">
      <c r="A449">
        <v>448</v>
      </c>
      <c r="B449" s="2" t="str">
        <f t="shared" si="36"/>
        <v>06-01-2012</v>
      </c>
      <c r="C449" t="s">
        <v>10</v>
      </c>
      <c r="D449">
        <v>6</v>
      </c>
      <c r="E449" t="str">
        <f t="shared" si="37"/>
        <v>06</v>
      </c>
      <c r="F449">
        <v>1</v>
      </c>
      <c r="G449" t="str">
        <f t="shared" si="38"/>
        <v>01</v>
      </c>
      <c r="H449">
        <v>2012</v>
      </c>
      <c r="I449" t="str">
        <f t="shared" si="39"/>
        <v>201201</v>
      </c>
      <c r="J449" t="str">
        <f t="shared" si="41"/>
        <v>https://www.euro-millions.com/results/06-01-2012</v>
      </c>
      <c r="K449" t="str">
        <f t="shared" si="40"/>
        <v>http://lottery.merseyworld.com/Euro/archive/Lott448.html</v>
      </c>
    </row>
    <row r="450" spans="1:11" x14ac:dyDescent="0.25">
      <c r="A450">
        <v>449</v>
      </c>
      <c r="B450" s="2" t="str">
        <f t="shared" si="36"/>
        <v>10-01-2012</v>
      </c>
      <c r="C450" t="s">
        <v>16</v>
      </c>
      <c r="D450">
        <v>10</v>
      </c>
      <c r="E450" t="str">
        <f t="shared" si="37"/>
        <v>10</v>
      </c>
      <c r="F450">
        <v>1</v>
      </c>
      <c r="G450" t="str">
        <f t="shared" si="38"/>
        <v>01</v>
      </c>
      <c r="H450">
        <v>2012</v>
      </c>
      <c r="I450" t="str">
        <f t="shared" si="39"/>
        <v>201201</v>
      </c>
      <c r="J450" t="str">
        <f t="shared" si="41"/>
        <v>https://www.euro-millions.com/results/10-01-2012</v>
      </c>
      <c r="K450" t="str">
        <f t="shared" si="40"/>
        <v>http://lottery.merseyworld.com/Euro/archive/Lott449.html</v>
      </c>
    </row>
    <row r="451" spans="1:11" x14ac:dyDescent="0.25">
      <c r="A451">
        <v>450</v>
      </c>
      <c r="B451" s="2" t="str">
        <f t="shared" ref="B451:B514" si="42">CONCATENATE(E451,"-",G451,"-",H451)</f>
        <v>13-01-2012</v>
      </c>
      <c r="C451" t="s">
        <v>10</v>
      </c>
      <c r="D451">
        <v>13</v>
      </c>
      <c r="E451" t="str">
        <f t="shared" ref="E451:E514" si="43">CONCATENATE(IF(LEN(D451)=1,CONCATENATE("0",D451),D451))</f>
        <v>13</v>
      </c>
      <c r="F451">
        <v>1</v>
      </c>
      <c r="G451" t="str">
        <f t="shared" ref="G451:G514" si="44">CONCATENATE(IF(LEN(F451)=1,CONCATENATE("0",F451),F451))</f>
        <v>01</v>
      </c>
      <c r="H451">
        <v>2012</v>
      </c>
      <c r="I451" t="str">
        <f t="shared" ref="I451:I514" si="45">CONCATENATE(H451,IF(LEN(F451)=1,CONCATENATE("0",F451),F451))</f>
        <v>201201</v>
      </c>
      <c r="J451" t="str">
        <f t="shared" si="41"/>
        <v>https://www.euro-millions.com/results/13-01-2012</v>
      </c>
      <c r="K451" t="str">
        <f t="shared" ref="K451:K514" si="46">CONCATENATE("http://lottery.merseyworld.com/Euro/archive/Lott",RIGHT(CONCATENATE("00",A451),3),".html")</f>
        <v>http://lottery.merseyworld.com/Euro/archive/Lott450.html</v>
      </c>
    </row>
    <row r="452" spans="1:11" x14ac:dyDescent="0.25">
      <c r="A452">
        <v>451</v>
      </c>
      <c r="B452" s="2" t="str">
        <f t="shared" si="42"/>
        <v>17-01-2012</v>
      </c>
      <c r="C452" t="s">
        <v>16</v>
      </c>
      <c r="D452">
        <v>17</v>
      </c>
      <c r="E452" t="str">
        <f t="shared" si="43"/>
        <v>17</v>
      </c>
      <c r="F452">
        <v>1</v>
      </c>
      <c r="G452" t="str">
        <f t="shared" si="44"/>
        <v>01</v>
      </c>
      <c r="H452">
        <v>2012</v>
      </c>
      <c r="I452" t="str">
        <f t="shared" si="45"/>
        <v>201201</v>
      </c>
      <c r="J452" t="str">
        <f t="shared" si="41"/>
        <v>https://www.euro-millions.com/results/17-01-2012</v>
      </c>
      <c r="K452" t="str">
        <f t="shared" si="46"/>
        <v>http://lottery.merseyworld.com/Euro/archive/Lott451.html</v>
      </c>
    </row>
    <row r="453" spans="1:11" x14ac:dyDescent="0.25">
      <c r="A453">
        <v>452</v>
      </c>
      <c r="B453" s="2" t="str">
        <f t="shared" si="42"/>
        <v>20-01-2012</v>
      </c>
      <c r="C453" t="s">
        <v>10</v>
      </c>
      <c r="D453">
        <v>20</v>
      </c>
      <c r="E453" t="str">
        <f t="shared" si="43"/>
        <v>20</v>
      </c>
      <c r="F453">
        <v>1</v>
      </c>
      <c r="G453" t="str">
        <f t="shared" si="44"/>
        <v>01</v>
      </c>
      <c r="H453">
        <v>2012</v>
      </c>
      <c r="I453" t="str">
        <f t="shared" si="45"/>
        <v>201201</v>
      </c>
      <c r="J453" t="str">
        <f t="shared" si="41"/>
        <v>https://www.euro-millions.com/results/20-01-2012</v>
      </c>
      <c r="K453" t="str">
        <f t="shared" si="46"/>
        <v>http://lottery.merseyworld.com/Euro/archive/Lott452.html</v>
      </c>
    </row>
    <row r="454" spans="1:11" x14ac:dyDescent="0.25">
      <c r="A454">
        <v>453</v>
      </c>
      <c r="B454" s="2" t="str">
        <f t="shared" si="42"/>
        <v>24-01-2012</v>
      </c>
      <c r="C454" t="s">
        <v>16</v>
      </c>
      <c r="D454">
        <v>24</v>
      </c>
      <c r="E454" t="str">
        <f t="shared" si="43"/>
        <v>24</v>
      </c>
      <c r="F454">
        <v>1</v>
      </c>
      <c r="G454" t="str">
        <f t="shared" si="44"/>
        <v>01</v>
      </c>
      <c r="H454">
        <v>2012</v>
      </c>
      <c r="I454" t="str">
        <f t="shared" si="45"/>
        <v>201201</v>
      </c>
      <c r="J454" t="str">
        <f t="shared" si="41"/>
        <v>https://www.euro-millions.com/results/24-01-2012</v>
      </c>
      <c r="K454" t="str">
        <f t="shared" si="46"/>
        <v>http://lottery.merseyworld.com/Euro/archive/Lott453.html</v>
      </c>
    </row>
    <row r="455" spans="1:11" x14ac:dyDescent="0.25">
      <c r="A455">
        <v>454</v>
      </c>
      <c r="B455" s="2" t="str">
        <f t="shared" si="42"/>
        <v>27-01-2012</v>
      </c>
      <c r="C455" t="s">
        <v>10</v>
      </c>
      <c r="D455">
        <v>27</v>
      </c>
      <c r="E455" t="str">
        <f t="shared" si="43"/>
        <v>27</v>
      </c>
      <c r="F455">
        <v>1</v>
      </c>
      <c r="G455" t="str">
        <f t="shared" si="44"/>
        <v>01</v>
      </c>
      <c r="H455">
        <v>2012</v>
      </c>
      <c r="I455" t="str">
        <f t="shared" si="45"/>
        <v>201201</v>
      </c>
      <c r="J455" t="str">
        <f t="shared" si="41"/>
        <v>https://www.euro-millions.com/results/27-01-2012</v>
      </c>
      <c r="K455" t="str">
        <f t="shared" si="46"/>
        <v>http://lottery.merseyworld.com/Euro/archive/Lott454.html</v>
      </c>
    </row>
    <row r="456" spans="1:11" x14ac:dyDescent="0.25">
      <c r="A456">
        <v>455</v>
      </c>
      <c r="B456" s="2" t="str">
        <f t="shared" si="42"/>
        <v>31-01-2012</v>
      </c>
      <c r="C456" t="s">
        <v>16</v>
      </c>
      <c r="D456">
        <v>31</v>
      </c>
      <c r="E456" t="str">
        <f t="shared" si="43"/>
        <v>31</v>
      </c>
      <c r="F456">
        <v>1</v>
      </c>
      <c r="G456" t="str">
        <f t="shared" si="44"/>
        <v>01</v>
      </c>
      <c r="H456">
        <v>2012</v>
      </c>
      <c r="I456" t="str">
        <f t="shared" si="45"/>
        <v>201201</v>
      </c>
      <c r="J456" t="str">
        <f t="shared" ref="J456:J519" si="47">CONCATENATE("https://www.euro-millions.com/results/",E456,"-",G456,"-",H456)</f>
        <v>https://www.euro-millions.com/results/31-01-2012</v>
      </c>
      <c r="K456" t="str">
        <f t="shared" si="46"/>
        <v>http://lottery.merseyworld.com/Euro/archive/Lott455.html</v>
      </c>
    </row>
    <row r="457" spans="1:11" x14ac:dyDescent="0.25">
      <c r="A457">
        <v>456</v>
      </c>
      <c r="B457" s="2" t="str">
        <f t="shared" si="42"/>
        <v>03-02-2012</v>
      </c>
      <c r="C457" t="s">
        <v>10</v>
      </c>
      <c r="D457">
        <v>3</v>
      </c>
      <c r="E457" t="str">
        <f t="shared" si="43"/>
        <v>03</v>
      </c>
      <c r="F457">
        <v>2</v>
      </c>
      <c r="G457" t="str">
        <f t="shared" si="44"/>
        <v>02</v>
      </c>
      <c r="H457">
        <v>2012</v>
      </c>
      <c r="I457" t="str">
        <f t="shared" si="45"/>
        <v>201202</v>
      </c>
      <c r="J457" t="str">
        <f t="shared" si="47"/>
        <v>https://www.euro-millions.com/results/03-02-2012</v>
      </c>
      <c r="K457" t="str">
        <f t="shared" si="46"/>
        <v>http://lottery.merseyworld.com/Euro/archive/Lott456.html</v>
      </c>
    </row>
    <row r="458" spans="1:11" x14ac:dyDescent="0.25">
      <c r="A458">
        <v>457</v>
      </c>
      <c r="B458" s="2" t="str">
        <f t="shared" si="42"/>
        <v>07-02-2012</v>
      </c>
      <c r="C458" t="s">
        <v>16</v>
      </c>
      <c r="D458">
        <v>7</v>
      </c>
      <c r="E458" t="str">
        <f t="shared" si="43"/>
        <v>07</v>
      </c>
      <c r="F458">
        <v>2</v>
      </c>
      <c r="G458" t="str">
        <f t="shared" si="44"/>
        <v>02</v>
      </c>
      <c r="H458">
        <v>2012</v>
      </c>
      <c r="I458" t="str">
        <f t="shared" si="45"/>
        <v>201202</v>
      </c>
      <c r="J458" t="str">
        <f t="shared" si="47"/>
        <v>https://www.euro-millions.com/results/07-02-2012</v>
      </c>
      <c r="K458" t="str">
        <f t="shared" si="46"/>
        <v>http://lottery.merseyworld.com/Euro/archive/Lott457.html</v>
      </c>
    </row>
    <row r="459" spans="1:11" x14ac:dyDescent="0.25">
      <c r="A459">
        <v>458</v>
      </c>
      <c r="B459" s="2" t="str">
        <f t="shared" si="42"/>
        <v>10-02-2012</v>
      </c>
      <c r="C459" t="s">
        <v>10</v>
      </c>
      <c r="D459">
        <v>10</v>
      </c>
      <c r="E459" t="str">
        <f t="shared" si="43"/>
        <v>10</v>
      </c>
      <c r="F459">
        <v>2</v>
      </c>
      <c r="G459" t="str">
        <f t="shared" si="44"/>
        <v>02</v>
      </c>
      <c r="H459">
        <v>2012</v>
      </c>
      <c r="I459" t="str">
        <f t="shared" si="45"/>
        <v>201202</v>
      </c>
      <c r="J459" t="str">
        <f t="shared" si="47"/>
        <v>https://www.euro-millions.com/results/10-02-2012</v>
      </c>
      <c r="K459" t="str">
        <f t="shared" si="46"/>
        <v>http://lottery.merseyworld.com/Euro/archive/Lott458.html</v>
      </c>
    </row>
    <row r="460" spans="1:11" x14ac:dyDescent="0.25">
      <c r="A460">
        <v>459</v>
      </c>
      <c r="B460" s="2" t="str">
        <f t="shared" si="42"/>
        <v>14-02-2012</v>
      </c>
      <c r="C460" t="s">
        <v>16</v>
      </c>
      <c r="D460">
        <v>14</v>
      </c>
      <c r="E460" t="str">
        <f t="shared" si="43"/>
        <v>14</v>
      </c>
      <c r="F460">
        <v>2</v>
      </c>
      <c r="G460" t="str">
        <f t="shared" si="44"/>
        <v>02</v>
      </c>
      <c r="H460">
        <v>2012</v>
      </c>
      <c r="I460" t="str">
        <f t="shared" si="45"/>
        <v>201202</v>
      </c>
      <c r="J460" t="str">
        <f t="shared" si="47"/>
        <v>https://www.euro-millions.com/results/14-02-2012</v>
      </c>
      <c r="K460" t="str">
        <f t="shared" si="46"/>
        <v>http://lottery.merseyworld.com/Euro/archive/Lott459.html</v>
      </c>
    </row>
    <row r="461" spans="1:11" x14ac:dyDescent="0.25">
      <c r="A461">
        <v>460</v>
      </c>
      <c r="B461" s="2" t="str">
        <f t="shared" si="42"/>
        <v>17-02-2012</v>
      </c>
      <c r="C461" t="s">
        <v>10</v>
      </c>
      <c r="D461">
        <v>17</v>
      </c>
      <c r="E461" t="str">
        <f t="shared" si="43"/>
        <v>17</v>
      </c>
      <c r="F461">
        <v>2</v>
      </c>
      <c r="G461" t="str">
        <f t="shared" si="44"/>
        <v>02</v>
      </c>
      <c r="H461">
        <v>2012</v>
      </c>
      <c r="I461" t="str">
        <f t="shared" si="45"/>
        <v>201202</v>
      </c>
      <c r="J461" t="str">
        <f t="shared" si="47"/>
        <v>https://www.euro-millions.com/results/17-02-2012</v>
      </c>
      <c r="K461" t="str">
        <f t="shared" si="46"/>
        <v>http://lottery.merseyworld.com/Euro/archive/Lott460.html</v>
      </c>
    </row>
    <row r="462" spans="1:11" x14ac:dyDescent="0.25">
      <c r="A462">
        <v>461</v>
      </c>
      <c r="B462" s="2" t="str">
        <f t="shared" si="42"/>
        <v>21-02-2012</v>
      </c>
      <c r="C462" t="s">
        <v>16</v>
      </c>
      <c r="D462">
        <v>21</v>
      </c>
      <c r="E462" t="str">
        <f t="shared" si="43"/>
        <v>21</v>
      </c>
      <c r="F462">
        <v>2</v>
      </c>
      <c r="G462" t="str">
        <f t="shared" si="44"/>
        <v>02</v>
      </c>
      <c r="H462">
        <v>2012</v>
      </c>
      <c r="I462" t="str">
        <f t="shared" si="45"/>
        <v>201202</v>
      </c>
      <c r="J462" t="str">
        <f t="shared" si="47"/>
        <v>https://www.euro-millions.com/results/21-02-2012</v>
      </c>
      <c r="K462" t="str">
        <f t="shared" si="46"/>
        <v>http://lottery.merseyworld.com/Euro/archive/Lott461.html</v>
      </c>
    </row>
    <row r="463" spans="1:11" x14ac:dyDescent="0.25">
      <c r="A463">
        <v>462</v>
      </c>
      <c r="B463" s="2" t="str">
        <f t="shared" si="42"/>
        <v>24-02-2012</v>
      </c>
      <c r="C463" t="s">
        <v>10</v>
      </c>
      <c r="D463">
        <v>24</v>
      </c>
      <c r="E463" t="str">
        <f t="shared" si="43"/>
        <v>24</v>
      </c>
      <c r="F463">
        <v>2</v>
      </c>
      <c r="G463" t="str">
        <f t="shared" si="44"/>
        <v>02</v>
      </c>
      <c r="H463">
        <v>2012</v>
      </c>
      <c r="I463" t="str">
        <f t="shared" si="45"/>
        <v>201202</v>
      </c>
      <c r="J463" t="str">
        <f t="shared" si="47"/>
        <v>https://www.euro-millions.com/results/24-02-2012</v>
      </c>
      <c r="K463" t="str">
        <f t="shared" si="46"/>
        <v>http://lottery.merseyworld.com/Euro/archive/Lott462.html</v>
      </c>
    </row>
    <row r="464" spans="1:11" x14ac:dyDescent="0.25">
      <c r="A464">
        <v>463</v>
      </c>
      <c r="B464" s="2" t="str">
        <f t="shared" si="42"/>
        <v>28-02-2012</v>
      </c>
      <c r="C464" t="s">
        <v>16</v>
      </c>
      <c r="D464">
        <v>28</v>
      </c>
      <c r="E464" t="str">
        <f t="shared" si="43"/>
        <v>28</v>
      </c>
      <c r="F464">
        <v>2</v>
      </c>
      <c r="G464" t="str">
        <f t="shared" si="44"/>
        <v>02</v>
      </c>
      <c r="H464">
        <v>2012</v>
      </c>
      <c r="I464" t="str">
        <f t="shared" si="45"/>
        <v>201202</v>
      </c>
      <c r="J464" t="str">
        <f t="shared" si="47"/>
        <v>https://www.euro-millions.com/results/28-02-2012</v>
      </c>
      <c r="K464" t="str">
        <f t="shared" si="46"/>
        <v>http://lottery.merseyworld.com/Euro/archive/Lott463.html</v>
      </c>
    </row>
    <row r="465" spans="1:11" x14ac:dyDescent="0.25">
      <c r="A465">
        <v>464</v>
      </c>
      <c r="B465" s="2" t="str">
        <f t="shared" si="42"/>
        <v>02-03-2012</v>
      </c>
      <c r="C465" t="s">
        <v>10</v>
      </c>
      <c r="D465">
        <v>2</v>
      </c>
      <c r="E465" t="str">
        <f t="shared" si="43"/>
        <v>02</v>
      </c>
      <c r="F465">
        <v>3</v>
      </c>
      <c r="G465" t="str">
        <f t="shared" si="44"/>
        <v>03</v>
      </c>
      <c r="H465">
        <v>2012</v>
      </c>
      <c r="I465" t="str">
        <f t="shared" si="45"/>
        <v>201203</v>
      </c>
      <c r="J465" t="str">
        <f t="shared" si="47"/>
        <v>https://www.euro-millions.com/results/02-03-2012</v>
      </c>
      <c r="K465" t="str">
        <f t="shared" si="46"/>
        <v>http://lottery.merseyworld.com/Euro/archive/Lott464.html</v>
      </c>
    </row>
    <row r="466" spans="1:11" x14ac:dyDescent="0.25">
      <c r="A466">
        <v>465</v>
      </c>
      <c r="B466" s="2" t="str">
        <f t="shared" si="42"/>
        <v>06-03-2012</v>
      </c>
      <c r="C466" t="s">
        <v>16</v>
      </c>
      <c r="D466">
        <v>6</v>
      </c>
      <c r="E466" t="str">
        <f t="shared" si="43"/>
        <v>06</v>
      </c>
      <c r="F466">
        <v>3</v>
      </c>
      <c r="G466" t="str">
        <f t="shared" si="44"/>
        <v>03</v>
      </c>
      <c r="H466">
        <v>2012</v>
      </c>
      <c r="I466" t="str">
        <f t="shared" si="45"/>
        <v>201203</v>
      </c>
      <c r="J466" t="str">
        <f t="shared" si="47"/>
        <v>https://www.euro-millions.com/results/06-03-2012</v>
      </c>
      <c r="K466" t="str">
        <f t="shared" si="46"/>
        <v>http://lottery.merseyworld.com/Euro/archive/Lott465.html</v>
      </c>
    </row>
    <row r="467" spans="1:11" x14ac:dyDescent="0.25">
      <c r="A467">
        <v>466</v>
      </c>
      <c r="B467" s="2" t="str">
        <f t="shared" si="42"/>
        <v>09-03-2012</v>
      </c>
      <c r="C467" t="s">
        <v>10</v>
      </c>
      <c r="D467">
        <v>9</v>
      </c>
      <c r="E467" t="str">
        <f t="shared" si="43"/>
        <v>09</v>
      </c>
      <c r="F467">
        <v>3</v>
      </c>
      <c r="G467" t="str">
        <f t="shared" si="44"/>
        <v>03</v>
      </c>
      <c r="H467">
        <v>2012</v>
      </c>
      <c r="I467" t="str">
        <f t="shared" si="45"/>
        <v>201203</v>
      </c>
      <c r="J467" t="str">
        <f t="shared" si="47"/>
        <v>https://www.euro-millions.com/results/09-03-2012</v>
      </c>
      <c r="K467" t="str">
        <f t="shared" si="46"/>
        <v>http://lottery.merseyworld.com/Euro/archive/Lott466.html</v>
      </c>
    </row>
    <row r="468" spans="1:11" x14ac:dyDescent="0.25">
      <c r="A468">
        <v>467</v>
      </c>
      <c r="B468" s="2" t="str">
        <f t="shared" si="42"/>
        <v>13-03-2012</v>
      </c>
      <c r="C468" t="s">
        <v>16</v>
      </c>
      <c r="D468">
        <v>13</v>
      </c>
      <c r="E468" t="str">
        <f t="shared" si="43"/>
        <v>13</v>
      </c>
      <c r="F468">
        <v>3</v>
      </c>
      <c r="G468" t="str">
        <f t="shared" si="44"/>
        <v>03</v>
      </c>
      <c r="H468">
        <v>2012</v>
      </c>
      <c r="I468" t="str">
        <f t="shared" si="45"/>
        <v>201203</v>
      </c>
      <c r="J468" t="str">
        <f t="shared" si="47"/>
        <v>https://www.euro-millions.com/results/13-03-2012</v>
      </c>
      <c r="K468" t="str">
        <f t="shared" si="46"/>
        <v>http://lottery.merseyworld.com/Euro/archive/Lott467.html</v>
      </c>
    </row>
    <row r="469" spans="1:11" x14ac:dyDescent="0.25">
      <c r="A469">
        <v>468</v>
      </c>
      <c r="B469" s="2" t="str">
        <f t="shared" si="42"/>
        <v>16-03-2012</v>
      </c>
      <c r="C469" t="s">
        <v>10</v>
      </c>
      <c r="D469">
        <v>16</v>
      </c>
      <c r="E469" t="str">
        <f t="shared" si="43"/>
        <v>16</v>
      </c>
      <c r="F469">
        <v>3</v>
      </c>
      <c r="G469" t="str">
        <f t="shared" si="44"/>
        <v>03</v>
      </c>
      <c r="H469">
        <v>2012</v>
      </c>
      <c r="I469" t="str">
        <f t="shared" si="45"/>
        <v>201203</v>
      </c>
      <c r="J469" t="str">
        <f t="shared" si="47"/>
        <v>https://www.euro-millions.com/results/16-03-2012</v>
      </c>
      <c r="K469" t="str">
        <f t="shared" si="46"/>
        <v>http://lottery.merseyworld.com/Euro/archive/Lott468.html</v>
      </c>
    </row>
    <row r="470" spans="1:11" x14ac:dyDescent="0.25">
      <c r="A470">
        <v>469</v>
      </c>
      <c r="B470" s="2" t="str">
        <f t="shared" si="42"/>
        <v>20-03-2012</v>
      </c>
      <c r="C470" t="s">
        <v>16</v>
      </c>
      <c r="D470">
        <v>20</v>
      </c>
      <c r="E470" t="str">
        <f t="shared" si="43"/>
        <v>20</v>
      </c>
      <c r="F470">
        <v>3</v>
      </c>
      <c r="G470" t="str">
        <f t="shared" si="44"/>
        <v>03</v>
      </c>
      <c r="H470">
        <v>2012</v>
      </c>
      <c r="I470" t="str">
        <f t="shared" si="45"/>
        <v>201203</v>
      </c>
      <c r="J470" t="str">
        <f t="shared" si="47"/>
        <v>https://www.euro-millions.com/results/20-03-2012</v>
      </c>
      <c r="K470" t="str">
        <f t="shared" si="46"/>
        <v>http://lottery.merseyworld.com/Euro/archive/Lott469.html</v>
      </c>
    </row>
    <row r="471" spans="1:11" x14ac:dyDescent="0.25">
      <c r="A471">
        <v>470</v>
      </c>
      <c r="B471" s="2" t="str">
        <f t="shared" si="42"/>
        <v>23-03-2012</v>
      </c>
      <c r="C471" t="s">
        <v>10</v>
      </c>
      <c r="D471">
        <v>23</v>
      </c>
      <c r="E471" t="str">
        <f t="shared" si="43"/>
        <v>23</v>
      </c>
      <c r="F471">
        <v>3</v>
      </c>
      <c r="G471" t="str">
        <f t="shared" si="44"/>
        <v>03</v>
      </c>
      <c r="H471">
        <v>2012</v>
      </c>
      <c r="I471" t="str">
        <f t="shared" si="45"/>
        <v>201203</v>
      </c>
      <c r="J471" t="str">
        <f t="shared" si="47"/>
        <v>https://www.euro-millions.com/results/23-03-2012</v>
      </c>
      <c r="K471" t="str">
        <f t="shared" si="46"/>
        <v>http://lottery.merseyworld.com/Euro/archive/Lott470.html</v>
      </c>
    </row>
    <row r="472" spans="1:11" x14ac:dyDescent="0.25">
      <c r="A472">
        <v>471</v>
      </c>
      <c r="B472" s="2" t="str">
        <f t="shared" si="42"/>
        <v>27-03-2012</v>
      </c>
      <c r="C472" t="s">
        <v>16</v>
      </c>
      <c r="D472">
        <v>27</v>
      </c>
      <c r="E472" t="str">
        <f t="shared" si="43"/>
        <v>27</v>
      </c>
      <c r="F472">
        <v>3</v>
      </c>
      <c r="G472" t="str">
        <f t="shared" si="44"/>
        <v>03</v>
      </c>
      <c r="H472">
        <v>2012</v>
      </c>
      <c r="I472" t="str">
        <f t="shared" si="45"/>
        <v>201203</v>
      </c>
      <c r="J472" t="str">
        <f t="shared" si="47"/>
        <v>https://www.euro-millions.com/results/27-03-2012</v>
      </c>
      <c r="K472" t="str">
        <f t="shared" si="46"/>
        <v>http://lottery.merseyworld.com/Euro/archive/Lott471.html</v>
      </c>
    </row>
    <row r="473" spans="1:11" x14ac:dyDescent="0.25">
      <c r="A473">
        <v>472</v>
      </c>
      <c r="B473" s="2" t="str">
        <f t="shared" si="42"/>
        <v>30-03-2012</v>
      </c>
      <c r="C473" t="s">
        <v>10</v>
      </c>
      <c r="D473">
        <v>30</v>
      </c>
      <c r="E473" t="str">
        <f t="shared" si="43"/>
        <v>30</v>
      </c>
      <c r="F473">
        <v>3</v>
      </c>
      <c r="G473" t="str">
        <f t="shared" si="44"/>
        <v>03</v>
      </c>
      <c r="H473">
        <v>2012</v>
      </c>
      <c r="I473" t="str">
        <f t="shared" si="45"/>
        <v>201203</v>
      </c>
      <c r="J473" t="str">
        <f t="shared" si="47"/>
        <v>https://www.euro-millions.com/results/30-03-2012</v>
      </c>
      <c r="K473" t="str">
        <f t="shared" si="46"/>
        <v>http://lottery.merseyworld.com/Euro/archive/Lott472.html</v>
      </c>
    </row>
    <row r="474" spans="1:11" x14ac:dyDescent="0.25">
      <c r="A474">
        <v>473</v>
      </c>
      <c r="B474" s="2" t="str">
        <f t="shared" si="42"/>
        <v>03-04-2012</v>
      </c>
      <c r="C474" t="s">
        <v>16</v>
      </c>
      <c r="D474">
        <v>3</v>
      </c>
      <c r="E474" t="str">
        <f t="shared" si="43"/>
        <v>03</v>
      </c>
      <c r="F474">
        <v>4</v>
      </c>
      <c r="G474" t="str">
        <f t="shared" si="44"/>
        <v>04</v>
      </c>
      <c r="H474">
        <v>2012</v>
      </c>
      <c r="I474" t="str">
        <f t="shared" si="45"/>
        <v>201204</v>
      </c>
      <c r="J474" t="str">
        <f t="shared" si="47"/>
        <v>https://www.euro-millions.com/results/03-04-2012</v>
      </c>
      <c r="K474" t="str">
        <f t="shared" si="46"/>
        <v>http://lottery.merseyworld.com/Euro/archive/Lott473.html</v>
      </c>
    </row>
    <row r="475" spans="1:11" x14ac:dyDescent="0.25">
      <c r="A475">
        <v>474</v>
      </c>
      <c r="B475" s="2" t="str">
        <f t="shared" si="42"/>
        <v>06-04-2012</v>
      </c>
      <c r="C475" t="s">
        <v>10</v>
      </c>
      <c r="D475">
        <v>6</v>
      </c>
      <c r="E475" t="str">
        <f t="shared" si="43"/>
        <v>06</v>
      </c>
      <c r="F475">
        <v>4</v>
      </c>
      <c r="G475" t="str">
        <f t="shared" si="44"/>
        <v>04</v>
      </c>
      <c r="H475">
        <v>2012</v>
      </c>
      <c r="I475" t="str">
        <f t="shared" si="45"/>
        <v>201204</v>
      </c>
      <c r="J475" t="str">
        <f t="shared" si="47"/>
        <v>https://www.euro-millions.com/results/06-04-2012</v>
      </c>
      <c r="K475" t="str">
        <f t="shared" si="46"/>
        <v>http://lottery.merseyworld.com/Euro/archive/Lott474.html</v>
      </c>
    </row>
    <row r="476" spans="1:11" x14ac:dyDescent="0.25">
      <c r="A476">
        <v>475</v>
      </c>
      <c r="B476" s="2" t="str">
        <f t="shared" si="42"/>
        <v>10-04-2012</v>
      </c>
      <c r="C476" t="s">
        <v>16</v>
      </c>
      <c r="D476">
        <v>10</v>
      </c>
      <c r="E476" t="str">
        <f t="shared" si="43"/>
        <v>10</v>
      </c>
      <c r="F476">
        <v>4</v>
      </c>
      <c r="G476" t="str">
        <f t="shared" si="44"/>
        <v>04</v>
      </c>
      <c r="H476">
        <v>2012</v>
      </c>
      <c r="I476" t="str">
        <f t="shared" si="45"/>
        <v>201204</v>
      </c>
      <c r="J476" t="str">
        <f t="shared" si="47"/>
        <v>https://www.euro-millions.com/results/10-04-2012</v>
      </c>
      <c r="K476" t="str">
        <f t="shared" si="46"/>
        <v>http://lottery.merseyworld.com/Euro/archive/Lott475.html</v>
      </c>
    </row>
    <row r="477" spans="1:11" x14ac:dyDescent="0.25">
      <c r="A477">
        <v>476</v>
      </c>
      <c r="B477" s="2" t="str">
        <f t="shared" si="42"/>
        <v>13-04-2012</v>
      </c>
      <c r="C477" t="s">
        <v>10</v>
      </c>
      <c r="D477">
        <v>13</v>
      </c>
      <c r="E477" t="str">
        <f t="shared" si="43"/>
        <v>13</v>
      </c>
      <c r="F477">
        <v>4</v>
      </c>
      <c r="G477" t="str">
        <f t="shared" si="44"/>
        <v>04</v>
      </c>
      <c r="H477">
        <v>2012</v>
      </c>
      <c r="I477" t="str">
        <f t="shared" si="45"/>
        <v>201204</v>
      </c>
      <c r="J477" t="str">
        <f t="shared" si="47"/>
        <v>https://www.euro-millions.com/results/13-04-2012</v>
      </c>
      <c r="K477" t="str">
        <f t="shared" si="46"/>
        <v>http://lottery.merseyworld.com/Euro/archive/Lott476.html</v>
      </c>
    </row>
    <row r="478" spans="1:11" x14ac:dyDescent="0.25">
      <c r="A478">
        <v>477</v>
      </c>
      <c r="B478" s="2" t="str">
        <f t="shared" si="42"/>
        <v>17-04-2012</v>
      </c>
      <c r="C478" t="s">
        <v>16</v>
      </c>
      <c r="D478">
        <v>17</v>
      </c>
      <c r="E478" t="str">
        <f t="shared" si="43"/>
        <v>17</v>
      </c>
      <c r="F478">
        <v>4</v>
      </c>
      <c r="G478" t="str">
        <f t="shared" si="44"/>
        <v>04</v>
      </c>
      <c r="H478">
        <v>2012</v>
      </c>
      <c r="I478" t="str">
        <f t="shared" si="45"/>
        <v>201204</v>
      </c>
      <c r="J478" t="str">
        <f t="shared" si="47"/>
        <v>https://www.euro-millions.com/results/17-04-2012</v>
      </c>
      <c r="K478" t="str">
        <f t="shared" si="46"/>
        <v>http://lottery.merseyworld.com/Euro/archive/Lott477.html</v>
      </c>
    </row>
    <row r="479" spans="1:11" x14ac:dyDescent="0.25">
      <c r="A479">
        <v>478</v>
      </c>
      <c r="B479" s="2" t="str">
        <f t="shared" si="42"/>
        <v>20-04-2012</v>
      </c>
      <c r="C479" t="s">
        <v>10</v>
      </c>
      <c r="D479">
        <v>20</v>
      </c>
      <c r="E479" t="str">
        <f t="shared" si="43"/>
        <v>20</v>
      </c>
      <c r="F479">
        <v>4</v>
      </c>
      <c r="G479" t="str">
        <f t="shared" si="44"/>
        <v>04</v>
      </c>
      <c r="H479">
        <v>2012</v>
      </c>
      <c r="I479" t="str">
        <f t="shared" si="45"/>
        <v>201204</v>
      </c>
      <c r="J479" t="str">
        <f t="shared" si="47"/>
        <v>https://www.euro-millions.com/results/20-04-2012</v>
      </c>
      <c r="K479" t="str">
        <f t="shared" si="46"/>
        <v>http://lottery.merseyworld.com/Euro/archive/Lott478.html</v>
      </c>
    </row>
    <row r="480" spans="1:11" x14ac:dyDescent="0.25">
      <c r="A480">
        <v>479</v>
      </c>
      <c r="B480" s="2" t="str">
        <f t="shared" si="42"/>
        <v>24-04-2012</v>
      </c>
      <c r="C480" t="s">
        <v>16</v>
      </c>
      <c r="D480">
        <v>24</v>
      </c>
      <c r="E480" t="str">
        <f t="shared" si="43"/>
        <v>24</v>
      </c>
      <c r="F480">
        <v>4</v>
      </c>
      <c r="G480" t="str">
        <f t="shared" si="44"/>
        <v>04</v>
      </c>
      <c r="H480">
        <v>2012</v>
      </c>
      <c r="I480" t="str">
        <f t="shared" si="45"/>
        <v>201204</v>
      </c>
      <c r="J480" t="str">
        <f t="shared" si="47"/>
        <v>https://www.euro-millions.com/results/24-04-2012</v>
      </c>
      <c r="K480" t="str">
        <f t="shared" si="46"/>
        <v>http://lottery.merseyworld.com/Euro/archive/Lott479.html</v>
      </c>
    </row>
    <row r="481" spans="1:11" x14ac:dyDescent="0.25">
      <c r="A481">
        <v>480</v>
      </c>
      <c r="B481" s="2" t="str">
        <f t="shared" si="42"/>
        <v>27-04-2012</v>
      </c>
      <c r="C481" t="s">
        <v>10</v>
      </c>
      <c r="D481">
        <v>27</v>
      </c>
      <c r="E481" t="str">
        <f t="shared" si="43"/>
        <v>27</v>
      </c>
      <c r="F481">
        <v>4</v>
      </c>
      <c r="G481" t="str">
        <f t="shared" si="44"/>
        <v>04</v>
      </c>
      <c r="H481">
        <v>2012</v>
      </c>
      <c r="I481" t="str">
        <f t="shared" si="45"/>
        <v>201204</v>
      </c>
      <c r="J481" t="str">
        <f t="shared" si="47"/>
        <v>https://www.euro-millions.com/results/27-04-2012</v>
      </c>
      <c r="K481" t="str">
        <f t="shared" si="46"/>
        <v>http://lottery.merseyworld.com/Euro/archive/Lott480.html</v>
      </c>
    </row>
    <row r="482" spans="1:11" x14ac:dyDescent="0.25">
      <c r="A482">
        <v>481</v>
      </c>
      <c r="B482" s="2" t="str">
        <f t="shared" si="42"/>
        <v>01-05-2012</v>
      </c>
      <c r="C482" t="s">
        <v>16</v>
      </c>
      <c r="D482">
        <v>1</v>
      </c>
      <c r="E482" t="str">
        <f t="shared" si="43"/>
        <v>01</v>
      </c>
      <c r="F482">
        <v>5</v>
      </c>
      <c r="G482" t="str">
        <f t="shared" si="44"/>
        <v>05</v>
      </c>
      <c r="H482">
        <v>2012</v>
      </c>
      <c r="I482" t="str">
        <f t="shared" si="45"/>
        <v>201205</v>
      </c>
      <c r="J482" t="str">
        <f t="shared" si="47"/>
        <v>https://www.euro-millions.com/results/01-05-2012</v>
      </c>
      <c r="K482" t="str">
        <f t="shared" si="46"/>
        <v>http://lottery.merseyworld.com/Euro/archive/Lott481.html</v>
      </c>
    </row>
    <row r="483" spans="1:11" x14ac:dyDescent="0.25">
      <c r="A483">
        <v>482</v>
      </c>
      <c r="B483" s="2" t="str">
        <f t="shared" si="42"/>
        <v>04-05-2012</v>
      </c>
      <c r="C483" t="s">
        <v>10</v>
      </c>
      <c r="D483">
        <v>4</v>
      </c>
      <c r="E483" t="str">
        <f t="shared" si="43"/>
        <v>04</v>
      </c>
      <c r="F483">
        <v>5</v>
      </c>
      <c r="G483" t="str">
        <f t="shared" si="44"/>
        <v>05</v>
      </c>
      <c r="H483">
        <v>2012</v>
      </c>
      <c r="I483" t="str">
        <f t="shared" si="45"/>
        <v>201205</v>
      </c>
      <c r="J483" t="str">
        <f t="shared" si="47"/>
        <v>https://www.euro-millions.com/results/04-05-2012</v>
      </c>
      <c r="K483" t="str">
        <f t="shared" si="46"/>
        <v>http://lottery.merseyworld.com/Euro/archive/Lott482.html</v>
      </c>
    </row>
    <row r="484" spans="1:11" x14ac:dyDescent="0.25">
      <c r="A484">
        <v>483</v>
      </c>
      <c r="B484" s="2" t="str">
        <f t="shared" si="42"/>
        <v>08-05-2012</v>
      </c>
      <c r="C484" t="s">
        <v>16</v>
      </c>
      <c r="D484">
        <v>8</v>
      </c>
      <c r="E484" t="str">
        <f t="shared" si="43"/>
        <v>08</v>
      </c>
      <c r="F484">
        <v>5</v>
      </c>
      <c r="G484" t="str">
        <f t="shared" si="44"/>
        <v>05</v>
      </c>
      <c r="H484">
        <v>2012</v>
      </c>
      <c r="I484" t="str">
        <f t="shared" si="45"/>
        <v>201205</v>
      </c>
      <c r="J484" t="str">
        <f t="shared" si="47"/>
        <v>https://www.euro-millions.com/results/08-05-2012</v>
      </c>
      <c r="K484" t="str">
        <f t="shared" si="46"/>
        <v>http://lottery.merseyworld.com/Euro/archive/Lott483.html</v>
      </c>
    </row>
    <row r="485" spans="1:11" x14ac:dyDescent="0.25">
      <c r="A485">
        <v>484</v>
      </c>
      <c r="B485" s="2" t="str">
        <f t="shared" si="42"/>
        <v>11-05-2012</v>
      </c>
      <c r="C485" t="s">
        <v>10</v>
      </c>
      <c r="D485">
        <v>11</v>
      </c>
      <c r="E485" t="str">
        <f t="shared" si="43"/>
        <v>11</v>
      </c>
      <c r="F485">
        <v>5</v>
      </c>
      <c r="G485" t="str">
        <f t="shared" si="44"/>
        <v>05</v>
      </c>
      <c r="H485">
        <v>2012</v>
      </c>
      <c r="I485" t="str">
        <f t="shared" si="45"/>
        <v>201205</v>
      </c>
      <c r="J485" t="str">
        <f t="shared" si="47"/>
        <v>https://www.euro-millions.com/results/11-05-2012</v>
      </c>
      <c r="K485" t="str">
        <f t="shared" si="46"/>
        <v>http://lottery.merseyworld.com/Euro/archive/Lott484.html</v>
      </c>
    </row>
    <row r="486" spans="1:11" x14ac:dyDescent="0.25">
      <c r="A486">
        <v>485</v>
      </c>
      <c r="B486" s="2" t="str">
        <f t="shared" si="42"/>
        <v>15-05-2012</v>
      </c>
      <c r="C486" t="s">
        <v>16</v>
      </c>
      <c r="D486">
        <v>15</v>
      </c>
      <c r="E486" t="str">
        <f t="shared" si="43"/>
        <v>15</v>
      </c>
      <c r="F486">
        <v>5</v>
      </c>
      <c r="G486" t="str">
        <f t="shared" si="44"/>
        <v>05</v>
      </c>
      <c r="H486">
        <v>2012</v>
      </c>
      <c r="I486" t="str">
        <f t="shared" si="45"/>
        <v>201205</v>
      </c>
      <c r="J486" t="str">
        <f t="shared" si="47"/>
        <v>https://www.euro-millions.com/results/15-05-2012</v>
      </c>
      <c r="K486" t="str">
        <f t="shared" si="46"/>
        <v>http://lottery.merseyworld.com/Euro/archive/Lott485.html</v>
      </c>
    </row>
    <row r="487" spans="1:11" x14ac:dyDescent="0.25">
      <c r="A487">
        <v>486</v>
      </c>
      <c r="B487" s="2" t="str">
        <f t="shared" si="42"/>
        <v>18-05-2012</v>
      </c>
      <c r="C487" t="s">
        <v>10</v>
      </c>
      <c r="D487">
        <v>18</v>
      </c>
      <c r="E487" t="str">
        <f t="shared" si="43"/>
        <v>18</v>
      </c>
      <c r="F487">
        <v>5</v>
      </c>
      <c r="G487" t="str">
        <f t="shared" si="44"/>
        <v>05</v>
      </c>
      <c r="H487">
        <v>2012</v>
      </c>
      <c r="I487" t="str">
        <f t="shared" si="45"/>
        <v>201205</v>
      </c>
      <c r="J487" t="str">
        <f t="shared" si="47"/>
        <v>https://www.euro-millions.com/results/18-05-2012</v>
      </c>
      <c r="K487" t="str">
        <f t="shared" si="46"/>
        <v>http://lottery.merseyworld.com/Euro/archive/Lott486.html</v>
      </c>
    </row>
    <row r="488" spans="1:11" x14ac:dyDescent="0.25">
      <c r="A488">
        <v>487</v>
      </c>
      <c r="B488" s="2" t="str">
        <f t="shared" si="42"/>
        <v>22-05-2012</v>
      </c>
      <c r="C488" t="s">
        <v>16</v>
      </c>
      <c r="D488">
        <v>22</v>
      </c>
      <c r="E488" t="str">
        <f t="shared" si="43"/>
        <v>22</v>
      </c>
      <c r="F488">
        <v>5</v>
      </c>
      <c r="G488" t="str">
        <f t="shared" si="44"/>
        <v>05</v>
      </c>
      <c r="H488">
        <v>2012</v>
      </c>
      <c r="I488" t="str">
        <f t="shared" si="45"/>
        <v>201205</v>
      </c>
      <c r="J488" t="str">
        <f t="shared" si="47"/>
        <v>https://www.euro-millions.com/results/22-05-2012</v>
      </c>
      <c r="K488" t="str">
        <f t="shared" si="46"/>
        <v>http://lottery.merseyworld.com/Euro/archive/Lott487.html</v>
      </c>
    </row>
    <row r="489" spans="1:11" x14ac:dyDescent="0.25">
      <c r="A489">
        <v>488</v>
      </c>
      <c r="B489" s="2" t="str">
        <f t="shared" si="42"/>
        <v>25-05-2012</v>
      </c>
      <c r="C489" t="s">
        <v>10</v>
      </c>
      <c r="D489">
        <v>25</v>
      </c>
      <c r="E489" t="str">
        <f t="shared" si="43"/>
        <v>25</v>
      </c>
      <c r="F489">
        <v>5</v>
      </c>
      <c r="G489" t="str">
        <f t="shared" si="44"/>
        <v>05</v>
      </c>
      <c r="H489">
        <v>2012</v>
      </c>
      <c r="I489" t="str">
        <f t="shared" si="45"/>
        <v>201205</v>
      </c>
      <c r="J489" t="str">
        <f t="shared" si="47"/>
        <v>https://www.euro-millions.com/results/25-05-2012</v>
      </c>
      <c r="K489" t="str">
        <f t="shared" si="46"/>
        <v>http://lottery.merseyworld.com/Euro/archive/Lott488.html</v>
      </c>
    </row>
    <row r="490" spans="1:11" x14ac:dyDescent="0.25">
      <c r="A490">
        <v>489</v>
      </c>
      <c r="B490" s="2" t="str">
        <f t="shared" si="42"/>
        <v>29-05-2012</v>
      </c>
      <c r="C490" t="s">
        <v>16</v>
      </c>
      <c r="D490">
        <v>29</v>
      </c>
      <c r="E490" t="str">
        <f t="shared" si="43"/>
        <v>29</v>
      </c>
      <c r="F490">
        <v>5</v>
      </c>
      <c r="G490" t="str">
        <f t="shared" si="44"/>
        <v>05</v>
      </c>
      <c r="H490">
        <v>2012</v>
      </c>
      <c r="I490" t="str">
        <f t="shared" si="45"/>
        <v>201205</v>
      </c>
      <c r="J490" t="str">
        <f t="shared" si="47"/>
        <v>https://www.euro-millions.com/results/29-05-2012</v>
      </c>
      <c r="K490" t="str">
        <f t="shared" si="46"/>
        <v>http://lottery.merseyworld.com/Euro/archive/Lott489.html</v>
      </c>
    </row>
    <row r="491" spans="1:11" x14ac:dyDescent="0.25">
      <c r="A491">
        <v>490</v>
      </c>
      <c r="B491" s="2" t="str">
        <f t="shared" si="42"/>
        <v>01-06-2012</v>
      </c>
      <c r="C491" t="s">
        <v>10</v>
      </c>
      <c r="D491">
        <v>1</v>
      </c>
      <c r="E491" t="str">
        <f t="shared" si="43"/>
        <v>01</v>
      </c>
      <c r="F491">
        <v>6</v>
      </c>
      <c r="G491" t="str">
        <f t="shared" si="44"/>
        <v>06</v>
      </c>
      <c r="H491">
        <v>2012</v>
      </c>
      <c r="I491" t="str">
        <f t="shared" si="45"/>
        <v>201206</v>
      </c>
      <c r="J491" t="str">
        <f t="shared" si="47"/>
        <v>https://www.euro-millions.com/results/01-06-2012</v>
      </c>
      <c r="K491" t="str">
        <f t="shared" si="46"/>
        <v>http://lottery.merseyworld.com/Euro/archive/Lott490.html</v>
      </c>
    </row>
    <row r="492" spans="1:11" x14ac:dyDescent="0.25">
      <c r="A492">
        <v>491</v>
      </c>
      <c r="B492" s="2" t="str">
        <f t="shared" si="42"/>
        <v>05-06-2012</v>
      </c>
      <c r="C492" t="s">
        <v>16</v>
      </c>
      <c r="D492">
        <v>5</v>
      </c>
      <c r="E492" t="str">
        <f t="shared" si="43"/>
        <v>05</v>
      </c>
      <c r="F492">
        <v>6</v>
      </c>
      <c r="G492" t="str">
        <f t="shared" si="44"/>
        <v>06</v>
      </c>
      <c r="H492">
        <v>2012</v>
      </c>
      <c r="I492" t="str">
        <f t="shared" si="45"/>
        <v>201206</v>
      </c>
      <c r="J492" t="str">
        <f t="shared" si="47"/>
        <v>https://www.euro-millions.com/results/05-06-2012</v>
      </c>
      <c r="K492" t="str">
        <f t="shared" si="46"/>
        <v>http://lottery.merseyworld.com/Euro/archive/Lott491.html</v>
      </c>
    </row>
    <row r="493" spans="1:11" x14ac:dyDescent="0.25">
      <c r="A493">
        <v>492</v>
      </c>
      <c r="B493" s="2" t="str">
        <f t="shared" si="42"/>
        <v>08-06-2012</v>
      </c>
      <c r="C493" t="s">
        <v>10</v>
      </c>
      <c r="D493">
        <v>8</v>
      </c>
      <c r="E493" t="str">
        <f t="shared" si="43"/>
        <v>08</v>
      </c>
      <c r="F493">
        <v>6</v>
      </c>
      <c r="G493" t="str">
        <f t="shared" si="44"/>
        <v>06</v>
      </c>
      <c r="H493">
        <v>2012</v>
      </c>
      <c r="I493" t="str">
        <f t="shared" si="45"/>
        <v>201206</v>
      </c>
      <c r="J493" t="str">
        <f t="shared" si="47"/>
        <v>https://www.euro-millions.com/results/08-06-2012</v>
      </c>
      <c r="K493" t="str">
        <f t="shared" si="46"/>
        <v>http://lottery.merseyworld.com/Euro/archive/Lott492.html</v>
      </c>
    </row>
    <row r="494" spans="1:11" x14ac:dyDescent="0.25">
      <c r="A494">
        <v>493</v>
      </c>
      <c r="B494" s="2" t="str">
        <f t="shared" si="42"/>
        <v>12-06-2012</v>
      </c>
      <c r="C494" t="s">
        <v>16</v>
      </c>
      <c r="D494">
        <v>12</v>
      </c>
      <c r="E494" t="str">
        <f t="shared" si="43"/>
        <v>12</v>
      </c>
      <c r="F494">
        <v>6</v>
      </c>
      <c r="G494" t="str">
        <f t="shared" si="44"/>
        <v>06</v>
      </c>
      <c r="H494">
        <v>2012</v>
      </c>
      <c r="I494" t="str">
        <f t="shared" si="45"/>
        <v>201206</v>
      </c>
      <c r="J494" t="str">
        <f t="shared" si="47"/>
        <v>https://www.euro-millions.com/results/12-06-2012</v>
      </c>
      <c r="K494" t="str">
        <f t="shared" si="46"/>
        <v>http://lottery.merseyworld.com/Euro/archive/Lott493.html</v>
      </c>
    </row>
    <row r="495" spans="1:11" x14ac:dyDescent="0.25">
      <c r="A495">
        <v>494</v>
      </c>
      <c r="B495" s="2" t="str">
        <f t="shared" si="42"/>
        <v>15-06-2012</v>
      </c>
      <c r="C495" t="s">
        <v>10</v>
      </c>
      <c r="D495">
        <v>15</v>
      </c>
      <c r="E495" t="str">
        <f t="shared" si="43"/>
        <v>15</v>
      </c>
      <c r="F495">
        <v>6</v>
      </c>
      <c r="G495" t="str">
        <f t="shared" si="44"/>
        <v>06</v>
      </c>
      <c r="H495">
        <v>2012</v>
      </c>
      <c r="I495" t="str">
        <f t="shared" si="45"/>
        <v>201206</v>
      </c>
      <c r="J495" t="str">
        <f t="shared" si="47"/>
        <v>https://www.euro-millions.com/results/15-06-2012</v>
      </c>
      <c r="K495" t="str">
        <f t="shared" si="46"/>
        <v>http://lottery.merseyworld.com/Euro/archive/Lott494.html</v>
      </c>
    </row>
    <row r="496" spans="1:11" x14ac:dyDescent="0.25">
      <c r="A496">
        <v>495</v>
      </c>
      <c r="B496" s="2" t="str">
        <f t="shared" si="42"/>
        <v>19-06-2012</v>
      </c>
      <c r="C496" t="s">
        <v>16</v>
      </c>
      <c r="D496">
        <v>19</v>
      </c>
      <c r="E496" t="str">
        <f t="shared" si="43"/>
        <v>19</v>
      </c>
      <c r="F496">
        <v>6</v>
      </c>
      <c r="G496" t="str">
        <f t="shared" si="44"/>
        <v>06</v>
      </c>
      <c r="H496">
        <v>2012</v>
      </c>
      <c r="I496" t="str">
        <f t="shared" si="45"/>
        <v>201206</v>
      </c>
      <c r="J496" t="str">
        <f t="shared" si="47"/>
        <v>https://www.euro-millions.com/results/19-06-2012</v>
      </c>
      <c r="K496" t="str">
        <f t="shared" si="46"/>
        <v>http://lottery.merseyworld.com/Euro/archive/Lott495.html</v>
      </c>
    </row>
    <row r="497" spans="1:11" x14ac:dyDescent="0.25">
      <c r="A497">
        <v>496</v>
      </c>
      <c r="B497" s="2" t="str">
        <f t="shared" si="42"/>
        <v>22-06-2012</v>
      </c>
      <c r="C497" t="s">
        <v>10</v>
      </c>
      <c r="D497">
        <v>22</v>
      </c>
      <c r="E497" t="str">
        <f t="shared" si="43"/>
        <v>22</v>
      </c>
      <c r="F497">
        <v>6</v>
      </c>
      <c r="G497" t="str">
        <f t="shared" si="44"/>
        <v>06</v>
      </c>
      <c r="H497">
        <v>2012</v>
      </c>
      <c r="I497" t="str">
        <f t="shared" si="45"/>
        <v>201206</v>
      </c>
      <c r="J497" t="str">
        <f t="shared" si="47"/>
        <v>https://www.euro-millions.com/results/22-06-2012</v>
      </c>
      <c r="K497" t="str">
        <f t="shared" si="46"/>
        <v>http://lottery.merseyworld.com/Euro/archive/Lott496.html</v>
      </c>
    </row>
    <row r="498" spans="1:11" x14ac:dyDescent="0.25">
      <c r="A498">
        <v>497</v>
      </c>
      <c r="B498" s="2" t="str">
        <f t="shared" si="42"/>
        <v>26-06-2012</v>
      </c>
      <c r="C498" t="s">
        <v>16</v>
      </c>
      <c r="D498">
        <v>26</v>
      </c>
      <c r="E498" t="str">
        <f t="shared" si="43"/>
        <v>26</v>
      </c>
      <c r="F498">
        <v>6</v>
      </c>
      <c r="G498" t="str">
        <f t="shared" si="44"/>
        <v>06</v>
      </c>
      <c r="H498">
        <v>2012</v>
      </c>
      <c r="I498" t="str">
        <f t="shared" si="45"/>
        <v>201206</v>
      </c>
      <c r="J498" t="str">
        <f t="shared" si="47"/>
        <v>https://www.euro-millions.com/results/26-06-2012</v>
      </c>
      <c r="K498" t="str">
        <f t="shared" si="46"/>
        <v>http://lottery.merseyworld.com/Euro/archive/Lott497.html</v>
      </c>
    </row>
    <row r="499" spans="1:11" x14ac:dyDescent="0.25">
      <c r="A499">
        <v>498</v>
      </c>
      <c r="B499" s="2" t="str">
        <f t="shared" si="42"/>
        <v>29-06-2012</v>
      </c>
      <c r="C499" t="s">
        <v>10</v>
      </c>
      <c r="D499">
        <v>29</v>
      </c>
      <c r="E499" t="str">
        <f t="shared" si="43"/>
        <v>29</v>
      </c>
      <c r="F499">
        <v>6</v>
      </c>
      <c r="G499" t="str">
        <f t="shared" si="44"/>
        <v>06</v>
      </c>
      <c r="H499">
        <v>2012</v>
      </c>
      <c r="I499" t="str">
        <f t="shared" si="45"/>
        <v>201206</v>
      </c>
      <c r="J499" t="str">
        <f t="shared" si="47"/>
        <v>https://www.euro-millions.com/results/29-06-2012</v>
      </c>
      <c r="K499" t="str">
        <f t="shared" si="46"/>
        <v>http://lottery.merseyworld.com/Euro/archive/Lott498.html</v>
      </c>
    </row>
    <row r="500" spans="1:11" x14ac:dyDescent="0.25">
      <c r="A500">
        <v>499</v>
      </c>
      <c r="B500" s="2" t="str">
        <f t="shared" si="42"/>
        <v>03-07-2012</v>
      </c>
      <c r="C500" t="s">
        <v>16</v>
      </c>
      <c r="D500">
        <v>3</v>
      </c>
      <c r="E500" t="str">
        <f t="shared" si="43"/>
        <v>03</v>
      </c>
      <c r="F500">
        <v>7</v>
      </c>
      <c r="G500" t="str">
        <f t="shared" si="44"/>
        <v>07</v>
      </c>
      <c r="H500">
        <v>2012</v>
      </c>
      <c r="I500" t="str">
        <f t="shared" si="45"/>
        <v>201207</v>
      </c>
      <c r="J500" t="str">
        <f t="shared" si="47"/>
        <v>https://www.euro-millions.com/results/03-07-2012</v>
      </c>
      <c r="K500" t="str">
        <f t="shared" si="46"/>
        <v>http://lottery.merseyworld.com/Euro/archive/Lott499.html</v>
      </c>
    </row>
    <row r="501" spans="1:11" x14ac:dyDescent="0.25">
      <c r="A501">
        <v>500</v>
      </c>
      <c r="B501" s="2" t="str">
        <f t="shared" si="42"/>
        <v>06-07-2012</v>
      </c>
      <c r="C501" t="s">
        <v>10</v>
      </c>
      <c r="D501">
        <v>6</v>
      </c>
      <c r="E501" t="str">
        <f t="shared" si="43"/>
        <v>06</v>
      </c>
      <c r="F501">
        <v>7</v>
      </c>
      <c r="G501" t="str">
        <f t="shared" si="44"/>
        <v>07</v>
      </c>
      <c r="H501">
        <v>2012</v>
      </c>
      <c r="I501" t="str">
        <f t="shared" si="45"/>
        <v>201207</v>
      </c>
      <c r="J501" t="str">
        <f t="shared" si="47"/>
        <v>https://www.euro-millions.com/results/06-07-2012</v>
      </c>
      <c r="K501" t="str">
        <f t="shared" si="46"/>
        <v>http://lottery.merseyworld.com/Euro/archive/Lott500.html</v>
      </c>
    </row>
    <row r="502" spans="1:11" x14ac:dyDescent="0.25">
      <c r="A502">
        <v>501</v>
      </c>
      <c r="B502" s="2" t="str">
        <f t="shared" si="42"/>
        <v>10-07-2012</v>
      </c>
      <c r="C502" t="s">
        <v>16</v>
      </c>
      <c r="D502">
        <v>10</v>
      </c>
      <c r="E502" t="str">
        <f t="shared" si="43"/>
        <v>10</v>
      </c>
      <c r="F502">
        <v>7</v>
      </c>
      <c r="G502" t="str">
        <f t="shared" si="44"/>
        <v>07</v>
      </c>
      <c r="H502">
        <v>2012</v>
      </c>
      <c r="I502" t="str">
        <f t="shared" si="45"/>
        <v>201207</v>
      </c>
      <c r="J502" t="str">
        <f t="shared" si="47"/>
        <v>https://www.euro-millions.com/results/10-07-2012</v>
      </c>
      <c r="K502" t="str">
        <f t="shared" si="46"/>
        <v>http://lottery.merseyworld.com/Euro/archive/Lott501.html</v>
      </c>
    </row>
    <row r="503" spans="1:11" x14ac:dyDescent="0.25">
      <c r="A503">
        <v>502</v>
      </c>
      <c r="B503" s="2" t="str">
        <f t="shared" si="42"/>
        <v>13-07-2012</v>
      </c>
      <c r="C503" t="s">
        <v>10</v>
      </c>
      <c r="D503">
        <v>13</v>
      </c>
      <c r="E503" t="str">
        <f t="shared" si="43"/>
        <v>13</v>
      </c>
      <c r="F503">
        <v>7</v>
      </c>
      <c r="G503" t="str">
        <f t="shared" si="44"/>
        <v>07</v>
      </c>
      <c r="H503">
        <v>2012</v>
      </c>
      <c r="I503" t="str">
        <f t="shared" si="45"/>
        <v>201207</v>
      </c>
      <c r="J503" t="str">
        <f t="shared" si="47"/>
        <v>https://www.euro-millions.com/results/13-07-2012</v>
      </c>
      <c r="K503" t="str">
        <f t="shared" si="46"/>
        <v>http://lottery.merseyworld.com/Euro/archive/Lott502.html</v>
      </c>
    </row>
    <row r="504" spans="1:11" x14ac:dyDescent="0.25">
      <c r="A504">
        <v>503</v>
      </c>
      <c r="B504" s="2" t="str">
        <f t="shared" si="42"/>
        <v>17-07-2012</v>
      </c>
      <c r="C504" t="s">
        <v>16</v>
      </c>
      <c r="D504">
        <v>17</v>
      </c>
      <c r="E504" t="str">
        <f t="shared" si="43"/>
        <v>17</v>
      </c>
      <c r="F504">
        <v>7</v>
      </c>
      <c r="G504" t="str">
        <f t="shared" si="44"/>
        <v>07</v>
      </c>
      <c r="H504">
        <v>2012</v>
      </c>
      <c r="I504" t="str">
        <f t="shared" si="45"/>
        <v>201207</v>
      </c>
      <c r="J504" t="str">
        <f t="shared" si="47"/>
        <v>https://www.euro-millions.com/results/17-07-2012</v>
      </c>
      <c r="K504" t="str">
        <f t="shared" si="46"/>
        <v>http://lottery.merseyworld.com/Euro/archive/Lott503.html</v>
      </c>
    </row>
    <row r="505" spans="1:11" x14ac:dyDescent="0.25">
      <c r="A505">
        <v>504</v>
      </c>
      <c r="B505" s="2" t="str">
        <f t="shared" si="42"/>
        <v>20-07-2012</v>
      </c>
      <c r="C505" t="s">
        <v>10</v>
      </c>
      <c r="D505">
        <v>20</v>
      </c>
      <c r="E505" t="str">
        <f t="shared" si="43"/>
        <v>20</v>
      </c>
      <c r="F505">
        <v>7</v>
      </c>
      <c r="G505" t="str">
        <f t="shared" si="44"/>
        <v>07</v>
      </c>
      <c r="H505">
        <v>2012</v>
      </c>
      <c r="I505" t="str">
        <f t="shared" si="45"/>
        <v>201207</v>
      </c>
      <c r="J505" t="str">
        <f t="shared" si="47"/>
        <v>https://www.euro-millions.com/results/20-07-2012</v>
      </c>
      <c r="K505" t="str">
        <f t="shared" si="46"/>
        <v>http://lottery.merseyworld.com/Euro/archive/Lott504.html</v>
      </c>
    </row>
    <row r="506" spans="1:11" x14ac:dyDescent="0.25">
      <c r="A506">
        <v>505</v>
      </c>
      <c r="B506" s="2" t="str">
        <f t="shared" si="42"/>
        <v>24-07-2012</v>
      </c>
      <c r="C506" t="s">
        <v>16</v>
      </c>
      <c r="D506">
        <v>24</v>
      </c>
      <c r="E506" t="str">
        <f t="shared" si="43"/>
        <v>24</v>
      </c>
      <c r="F506">
        <v>7</v>
      </c>
      <c r="G506" t="str">
        <f t="shared" si="44"/>
        <v>07</v>
      </c>
      <c r="H506">
        <v>2012</v>
      </c>
      <c r="I506" t="str">
        <f t="shared" si="45"/>
        <v>201207</v>
      </c>
      <c r="J506" t="str">
        <f t="shared" si="47"/>
        <v>https://www.euro-millions.com/results/24-07-2012</v>
      </c>
      <c r="K506" t="str">
        <f t="shared" si="46"/>
        <v>http://lottery.merseyworld.com/Euro/archive/Lott505.html</v>
      </c>
    </row>
    <row r="507" spans="1:11" x14ac:dyDescent="0.25">
      <c r="A507">
        <v>506</v>
      </c>
      <c r="B507" s="2" t="str">
        <f t="shared" si="42"/>
        <v>27-07-2012</v>
      </c>
      <c r="C507" t="s">
        <v>10</v>
      </c>
      <c r="D507">
        <v>27</v>
      </c>
      <c r="E507" t="str">
        <f t="shared" si="43"/>
        <v>27</v>
      </c>
      <c r="F507">
        <v>7</v>
      </c>
      <c r="G507" t="str">
        <f t="shared" si="44"/>
        <v>07</v>
      </c>
      <c r="H507">
        <v>2012</v>
      </c>
      <c r="I507" t="str">
        <f t="shared" si="45"/>
        <v>201207</v>
      </c>
      <c r="J507" t="str">
        <f t="shared" si="47"/>
        <v>https://www.euro-millions.com/results/27-07-2012</v>
      </c>
      <c r="K507" t="str">
        <f t="shared" si="46"/>
        <v>http://lottery.merseyworld.com/Euro/archive/Lott506.html</v>
      </c>
    </row>
    <row r="508" spans="1:11" x14ac:dyDescent="0.25">
      <c r="A508">
        <v>507</v>
      </c>
      <c r="B508" s="2" t="str">
        <f t="shared" si="42"/>
        <v>31-07-2012</v>
      </c>
      <c r="C508" t="s">
        <v>16</v>
      </c>
      <c r="D508">
        <v>31</v>
      </c>
      <c r="E508" t="str">
        <f t="shared" si="43"/>
        <v>31</v>
      </c>
      <c r="F508">
        <v>7</v>
      </c>
      <c r="G508" t="str">
        <f t="shared" si="44"/>
        <v>07</v>
      </c>
      <c r="H508">
        <v>2012</v>
      </c>
      <c r="I508" t="str">
        <f t="shared" si="45"/>
        <v>201207</v>
      </c>
      <c r="J508" t="str">
        <f t="shared" si="47"/>
        <v>https://www.euro-millions.com/results/31-07-2012</v>
      </c>
      <c r="K508" t="str">
        <f t="shared" si="46"/>
        <v>http://lottery.merseyworld.com/Euro/archive/Lott507.html</v>
      </c>
    </row>
    <row r="509" spans="1:11" x14ac:dyDescent="0.25">
      <c r="A509">
        <v>508</v>
      </c>
      <c r="B509" s="2" t="str">
        <f t="shared" si="42"/>
        <v>03-08-2012</v>
      </c>
      <c r="C509" t="s">
        <v>10</v>
      </c>
      <c r="D509">
        <v>3</v>
      </c>
      <c r="E509" t="str">
        <f t="shared" si="43"/>
        <v>03</v>
      </c>
      <c r="F509">
        <v>8</v>
      </c>
      <c r="G509" t="str">
        <f t="shared" si="44"/>
        <v>08</v>
      </c>
      <c r="H509">
        <v>2012</v>
      </c>
      <c r="I509" t="str">
        <f t="shared" si="45"/>
        <v>201208</v>
      </c>
      <c r="J509" t="str">
        <f t="shared" si="47"/>
        <v>https://www.euro-millions.com/results/03-08-2012</v>
      </c>
      <c r="K509" t="str">
        <f t="shared" si="46"/>
        <v>http://lottery.merseyworld.com/Euro/archive/Lott508.html</v>
      </c>
    </row>
    <row r="510" spans="1:11" x14ac:dyDescent="0.25">
      <c r="A510">
        <v>509</v>
      </c>
      <c r="B510" s="2" t="str">
        <f t="shared" si="42"/>
        <v>07-08-2012</v>
      </c>
      <c r="C510" t="s">
        <v>16</v>
      </c>
      <c r="D510">
        <v>7</v>
      </c>
      <c r="E510" t="str">
        <f t="shared" si="43"/>
        <v>07</v>
      </c>
      <c r="F510">
        <v>8</v>
      </c>
      <c r="G510" t="str">
        <f t="shared" si="44"/>
        <v>08</v>
      </c>
      <c r="H510">
        <v>2012</v>
      </c>
      <c r="I510" t="str">
        <f t="shared" si="45"/>
        <v>201208</v>
      </c>
      <c r="J510" t="str">
        <f t="shared" si="47"/>
        <v>https://www.euro-millions.com/results/07-08-2012</v>
      </c>
      <c r="K510" t="str">
        <f t="shared" si="46"/>
        <v>http://lottery.merseyworld.com/Euro/archive/Lott509.html</v>
      </c>
    </row>
    <row r="511" spans="1:11" x14ac:dyDescent="0.25">
      <c r="A511">
        <v>510</v>
      </c>
      <c r="B511" s="2" t="str">
        <f t="shared" si="42"/>
        <v>10-08-2012</v>
      </c>
      <c r="C511" t="s">
        <v>10</v>
      </c>
      <c r="D511">
        <v>10</v>
      </c>
      <c r="E511" t="str">
        <f t="shared" si="43"/>
        <v>10</v>
      </c>
      <c r="F511">
        <v>8</v>
      </c>
      <c r="G511" t="str">
        <f t="shared" si="44"/>
        <v>08</v>
      </c>
      <c r="H511">
        <v>2012</v>
      </c>
      <c r="I511" t="str">
        <f t="shared" si="45"/>
        <v>201208</v>
      </c>
      <c r="J511" t="str">
        <f t="shared" si="47"/>
        <v>https://www.euro-millions.com/results/10-08-2012</v>
      </c>
      <c r="K511" t="str">
        <f t="shared" si="46"/>
        <v>http://lottery.merseyworld.com/Euro/archive/Lott510.html</v>
      </c>
    </row>
    <row r="512" spans="1:11" x14ac:dyDescent="0.25">
      <c r="A512">
        <v>511</v>
      </c>
      <c r="B512" s="2" t="str">
        <f t="shared" si="42"/>
        <v>14-08-2012</v>
      </c>
      <c r="C512" t="s">
        <v>16</v>
      </c>
      <c r="D512">
        <v>14</v>
      </c>
      <c r="E512" t="str">
        <f t="shared" si="43"/>
        <v>14</v>
      </c>
      <c r="F512">
        <v>8</v>
      </c>
      <c r="G512" t="str">
        <f t="shared" si="44"/>
        <v>08</v>
      </c>
      <c r="H512">
        <v>2012</v>
      </c>
      <c r="I512" t="str">
        <f t="shared" si="45"/>
        <v>201208</v>
      </c>
      <c r="J512" t="str">
        <f t="shared" si="47"/>
        <v>https://www.euro-millions.com/results/14-08-2012</v>
      </c>
      <c r="K512" t="str">
        <f t="shared" si="46"/>
        <v>http://lottery.merseyworld.com/Euro/archive/Lott511.html</v>
      </c>
    </row>
    <row r="513" spans="1:11" x14ac:dyDescent="0.25">
      <c r="A513">
        <v>512</v>
      </c>
      <c r="B513" s="2" t="str">
        <f t="shared" si="42"/>
        <v>17-08-2012</v>
      </c>
      <c r="C513" t="s">
        <v>10</v>
      </c>
      <c r="D513">
        <v>17</v>
      </c>
      <c r="E513" t="str">
        <f t="shared" si="43"/>
        <v>17</v>
      </c>
      <c r="F513">
        <v>8</v>
      </c>
      <c r="G513" t="str">
        <f t="shared" si="44"/>
        <v>08</v>
      </c>
      <c r="H513">
        <v>2012</v>
      </c>
      <c r="I513" t="str">
        <f t="shared" si="45"/>
        <v>201208</v>
      </c>
      <c r="J513" t="str">
        <f t="shared" si="47"/>
        <v>https://www.euro-millions.com/results/17-08-2012</v>
      </c>
      <c r="K513" t="str">
        <f t="shared" si="46"/>
        <v>http://lottery.merseyworld.com/Euro/archive/Lott512.html</v>
      </c>
    </row>
    <row r="514" spans="1:11" x14ac:dyDescent="0.25">
      <c r="A514">
        <v>513</v>
      </c>
      <c r="B514" s="2" t="str">
        <f t="shared" si="42"/>
        <v>21-08-2012</v>
      </c>
      <c r="C514" t="s">
        <v>16</v>
      </c>
      <c r="D514">
        <v>21</v>
      </c>
      <c r="E514" t="str">
        <f t="shared" si="43"/>
        <v>21</v>
      </c>
      <c r="F514">
        <v>8</v>
      </c>
      <c r="G514" t="str">
        <f t="shared" si="44"/>
        <v>08</v>
      </c>
      <c r="H514">
        <v>2012</v>
      </c>
      <c r="I514" t="str">
        <f t="shared" si="45"/>
        <v>201208</v>
      </c>
      <c r="J514" t="str">
        <f t="shared" si="47"/>
        <v>https://www.euro-millions.com/results/21-08-2012</v>
      </c>
      <c r="K514" t="str">
        <f t="shared" si="46"/>
        <v>http://lottery.merseyworld.com/Euro/archive/Lott513.html</v>
      </c>
    </row>
    <row r="515" spans="1:11" x14ac:dyDescent="0.25">
      <c r="A515">
        <v>514</v>
      </c>
      <c r="B515" s="2" t="str">
        <f t="shared" ref="B515:B578" si="48">CONCATENATE(E515,"-",G515,"-",H515)</f>
        <v>24-08-2012</v>
      </c>
      <c r="C515" t="s">
        <v>10</v>
      </c>
      <c r="D515">
        <v>24</v>
      </c>
      <c r="E515" t="str">
        <f t="shared" ref="E515:E578" si="49">CONCATENATE(IF(LEN(D515)=1,CONCATENATE("0",D515),D515))</f>
        <v>24</v>
      </c>
      <c r="F515">
        <v>8</v>
      </c>
      <c r="G515" t="str">
        <f t="shared" ref="G515:G578" si="50">CONCATENATE(IF(LEN(F515)=1,CONCATENATE("0",F515),F515))</f>
        <v>08</v>
      </c>
      <c r="H515">
        <v>2012</v>
      </c>
      <c r="I515" t="str">
        <f t="shared" ref="I515:I578" si="51">CONCATENATE(H515,IF(LEN(F515)=1,CONCATENATE("0",F515),F515))</f>
        <v>201208</v>
      </c>
      <c r="J515" t="str">
        <f t="shared" si="47"/>
        <v>https://www.euro-millions.com/results/24-08-2012</v>
      </c>
      <c r="K515" t="str">
        <f t="shared" ref="K515:K578" si="52">CONCATENATE("http://lottery.merseyworld.com/Euro/archive/Lott",RIGHT(CONCATENATE("00",A515),3),".html")</f>
        <v>http://lottery.merseyworld.com/Euro/archive/Lott514.html</v>
      </c>
    </row>
    <row r="516" spans="1:11" x14ac:dyDescent="0.25">
      <c r="A516">
        <v>515</v>
      </c>
      <c r="B516" s="2" t="str">
        <f t="shared" si="48"/>
        <v>28-08-2012</v>
      </c>
      <c r="C516" t="s">
        <v>16</v>
      </c>
      <c r="D516">
        <v>28</v>
      </c>
      <c r="E516" t="str">
        <f t="shared" si="49"/>
        <v>28</v>
      </c>
      <c r="F516">
        <v>8</v>
      </c>
      <c r="G516" t="str">
        <f t="shared" si="50"/>
        <v>08</v>
      </c>
      <c r="H516">
        <v>2012</v>
      </c>
      <c r="I516" t="str">
        <f t="shared" si="51"/>
        <v>201208</v>
      </c>
      <c r="J516" t="str">
        <f t="shared" si="47"/>
        <v>https://www.euro-millions.com/results/28-08-2012</v>
      </c>
      <c r="K516" t="str">
        <f t="shared" si="52"/>
        <v>http://lottery.merseyworld.com/Euro/archive/Lott515.html</v>
      </c>
    </row>
    <row r="517" spans="1:11" x14ac:dyDescent="0.25">
      <c r="A517">
        <v>516</v>
      </c>
      <c r="B517" s="2" t="str">
        <f t="shared" si="48"/>
        <v>31-08-2012</v>
      </c>
      <c r="C517" t="s">
        <v>10</v>
      </c>
      <c r="D517">
        <v>31</v>
      </c>
      <c r="E517" t="str">
        <f t="shared" si="49"/>
        <v>31</v>
      </c>
      <c r="F517">
        <v>8</v>
      </c>
      <c r="G517" t="str">
        <f t="shared" si="50"/>
        <v>08</v>
      </c>
      <c r="H517">
        <v>2012</v>
      </c>
      <c r="I517" t="str">
        <f t="shared" si="51"/>
        <v>201208</v>
      </c>
      <c r="J517" t="str">
        <f t="shared" si="47"/>
        <v>https://www.euro-millions.com/results/31-08-2012</v>
      </c>
      <c r="K517" t="str">
        <f t="shared" si="52"/>
        <v>http://lottery.merseyworld.com/Euro/archive/Lott516.html</v>
      </c>
    </row>
    <row r="518" spans="1:11" x14ac:dyDescent="0.25">
      <c r="A518">
        <v>517</v>
      </c>
      <c r="B518" s="2" t="str">
        <f t="shared" si="48"/>
        <v>04-09-2012</v>
      </c>
      <c r="C518" t="s">
        <v>16</v>
      </c>
      <c r="D518">
        <v>4</v>
      </c>
      <c r="E518" t="str">
        <f t="shared" si="49"/>
        <v>04</v>
      </c>
      <c r="F518">
        <v>9</v>
      </c>
      <c r="G518" t="str">
        <f t="shared" si="50"/>
        <v>09</v>
      </c>
      <c r="H518">
        <v>2012</v>
      </c>
      <c r="I518" t="str">
        <f t="shared" si="51"/>
        <v>201209</v>
      </c>
      <c r="J518" t="str">
        <f t="shared" si="47"/>
        <v>https://www.euro-millions.com/results/04-09-2012</v>
      </c>
      <c r="K518" t="str">
        <f t="shared" si="52"/>
        <v>http://lottery.merseyworld.com/Euro/archive/Lott517.html</v>
      </c>
    </row>
    <row r="519" spans="1:11" x14ac:dyDescent="0.25">
      <c r="A519">
        <v>518</v>
      </c>
      <c r="B519" s="2" t="str">
        <f t="shared" si="48"/>
        <v>07-09-2012</v>
      </c>
      <c r="C519" t="s">
        <v>10</v>
      </c>
      <c r="D519">
        <v>7</v>
      </c>
      <c r="E519" t="str">
        <f t="shared" si="49"/>
        <v>07</v>
      </c>
      <c r="F519">
        <v>9</v>
      </c>
      <c r="G519" t="str">
        <f t="shared" si="50"/>
        <v>09</v>
      </c>
      <c r="H519">
        <v>2012</v>
      </c>
      <c r="I519" t="str">
        <f t="shared" si="51"/>
        <v>201209</v>
      </c>
      <c r="J519" t="str">
        <f t="shared" si="47"/>
        <v>https://www.euro-millions.com/results/07-09-2012</v>
      </c>
      <c r="K519" t="str">
        <f t="shared" si="52"/>
        <v>http://lottery.merseyworld.com/Euro/archive/Lott518.html</v>
      </c>
    </row>
    <row r="520" spans="1:11" x14ac:dyDescent="0.25">
      <c r="A520">
        <v>519</v>
      </c>
      <c r="B520" s="2" t="str">
        <f t="shared" si="48"/>
        <v>11-09-2012</v>
      </c>
      <c r="C520" t="s">
        <v>16</v>
      </c>
      <c r="D520">
        <v>11</v>
      </c>
      <c r="E520" t="str">
        <f t="shared" si="49"/>
        <v>11</v>
      </c>
      <c r="F520">
        <v>9</v>
      </c>
      <c r="G520" t="str">
        <f t="shared" si="50"/>
        <v>09</v>
      </c>
      <c r="H520">
        <v>2012</v>
      </c>
      <c r="I520" t="str">
        <f t="shared" si="51"/>
        <v>201209</v>
      </c>
      <c r="J520" t="str">
        <f t="shared" ref="J520:J583" si="53">CONCATENATE("https://www.euro-millions.com/results/",E520,"-",G520,"-",H520)</f>
        <v>https://www.euro-millions.com/results/11-09-2012</v>
      </c>
      <c r="K520" t="str">
        <f t="shared" si="52"/>
        <v>http://lottery.merseyworld.com/Euro/archive/Lott519.html</v>
      </c>
    </row>
    <row r="521" spans="1:11" x14ac:dyDescent="0.25">
      <c r="A521">
        <v>520</v>
      </c>
      <c r="B521" s="2" t="str">
        <f t="shared" si="48"/>
        <v>14-09-2012</v>
      </c>
      <c r="C521" t="s">
        <v>10</v>
      </c>
      <c r="D521">
        <v>14</v>
      </c>
      <c r="E521" t="str">
        <f t="shared" si="49"/>
        <v>14</v>
      </c>
      <c r="F521">
        <v>9</v>
      </c>
      <c r="G521" t="str">
        <f t="shared" si="50"/>
        <v>09</v>
      </c>
      <c r="H521">
        <v>2012</v>
      </c>
      <c r="I521" t="str">
        <f t="shared" si="51"/>
        <v>201209</v>
      </c>
      <c r="J521" t="str">
        <f t="shared" si="53"/>
        <v>https://www.euro-millions.com/results/14-09-2012</v>
      </c>
      <c r="K521" t="str">
        <f t="shared" si="52"/>
        <v>http://lottery.merseyworld.com/Euro/archive/Lott520.html</v>
      </c>
    </row>
    <row r="522" spans="1:11" x14ac:dyDescent="0.25">
      <c r="A522">
        <v>521</v>
      </c>
      <c r="B522" s="2" t="str">
        <f t="shared" si="48"/>
        <v>18-09-2012</v>
      </c>
      <c r="C522" t="s">
        <v>16</v>
      </c>
      <c r="D522">
        <v>18</v>
      </c>
      <c r="E522" t="str">
        <f t="shared" si="49"/>
        <v>18</v>
      </c>
      <c r="F522">
        <v>9</v>
      </c>
      <c r="G522" t="str">
        <f t="shared" si="50"/>
        <v>09</v>
      </c>
      <c r="H522">
        <v>2012</v>
      </c>
      <c r="I522" t="str">
        <f t="shared" si="51"/>
        <v>201209</v>
      </c>
      <c r="J522" t="str">
        <f t="shared" si="53"/>
        <v>https://www.euro-millions.com/results/18-09-2012</v>
      </c>
      <c r="K522" t="str">
        <f t="shared" si="52"/>
        <v>http://lottery.merseyworld.com/Euro/archive/Lott521.html</v>
      </c>
    </row>
    <row r="523" spans="1:11" x14ac:dyDescent="0.25">
      <c r="A523">
        <v>522</v>
      </c>
      <c r="B523" s="2" t="str">
        <f t="shared" si="48"/>
        <v>21-09-2012</v>
      </c>
      <c r="C523" t="s">
        <v>10</v>
      </c>
      <c r="D523">
        <v>21</v>
      </c>
      <c r="E523" t="str">
        <f t="shared" si="49"/>
        <v>21</v>
      </c>
      <c r="F523">
        <v>9</v>
      </c>
      <c r="G523" t="str">
        <f t="shared" si="50"/>
        <v>09</v>
      </c>
      <c r="H523">
        <v>2012</v>
      </c>
      <c r="I523" t="str">
        <f t="shared" si="51"/>
        <v>201209</v>
      </c>
      <c r="J523" t="str">
        <f t="shared" si="53"/>
        <v>https://www.euro-millions.com/results/21-09-2012</v>
      </c>
      <c r="K523" t="str">
        <f t="shared" si="52"/>
        <v>http://lottery.merseyworld.com/Euro/archive/Lott522.html</v>
      </c>
    </row>
    <row r="524" spans="1:11" x14ac:dyDescent="0.25">
      <c r="A524">
        <v>523</v>
      </c>
      <c r="B524" s="2" t="str">
        <f t="shared" si="48"/>
        <v>25-09-2012</v>
      </c>
      <c r="C524" t="s">
        <v>16</v>
      </c>
      <c r="D524">
        <v>25</v>
      </c>
      <c r="E524" t="str">
        <f t="shared" si="49"/>
        <v>25</v>
      </c>
      <c r="F524">
        <v>9</v>
      </c>
      <c r="G524" t="str">
        <f t="shared" si="50"/>
        <v>09</v>
      </c>
      <c r="H524">
        <v>2012</v>
      </c>
      <c r="I524" t="str">
        <f t="shared" si="51"/>
        <v>201209</v>
      </c>
      <c r="J524" t="str">
        <f t="shared" si="53"/>
        <v>https://www.euro-millions.com/results/25-09-2012</v>
      </c>
      <c r="K524" t="str">
        <f t="shared" si="52"/>
        <v>http://lottery.merseyworld.com/Euro/archive/Lott523.html</v>
      </c>
    </row>
    <row r="525" spans="1:11" x14ac:dyDescent="0.25">
      <c r="A525">
        <v>524</v>
      </c>
      <c r="B525" s="2" t="str">
        <f t="shared" si="48"/>
        <v>28-09-2012</v>
      </c>
      <c r="C525" t="s">
        <v>10</v>
      </c>
      <c r="D525">
        <v>28</v>
      </c>
      <c r="E525" t="str">
        <f t="shared" si="49"/>
        <v>28</v>
      </c>
      <c r="F525">
        <v>9</v>
      </c>
      <c r="G525" t="str">
        <f t="shared" si="50"/>
        <v>09</v>
      </c>
      <c r="H525">
        <v>2012</v>
      </c>
      <c r="I525" t="str">
        <f t="shared" si="51"/>
        <v>201209</v>
      </c>
      <c r="J525" t="str">
        <f t="shared" si="53"/>
        <v>https://www.euro-millions.com/results/28-09-2012</v>
      </c>
      <c r="K525" t="str">
        <f t="shared" si="52"/>
        <v>http://lottery.merseyworld.com/Euro/archive/Lott524.html</v>
      </c>
    </row>
    <row r="526" spans="1:11" x14ac:dyDescent="0.25">
      <c r="A526">
        <v>525</v>
      </c>
      <c r="B526" s="2" t="str">
        <f t="shared" si="48"/>
        <v>02-10-2012</v>
      </c>
      <c r="C526" t="s">
        <v>16</v>
      </c>
      <c r="D526">
        <v>2</v>
      </c>
      <c r="E526" t="str">
        <f t="shared" si="49"/>
        <v>02</v>
      </c>
      <c r="F526">
        <v>10</v>
      </c>
      <c r="G526" t="str">
        <f t="shared" si="50"/>
        <v>10</v>
      </c>
      <c r="H526">
        <v>2012</v>
      </c>
      <c r="I526" t="str">
        <f t="shared" si="51"/>
        <v>201210</v>
      </c>
      <c r="J526" t="str">
        <f t="shared" si="53"/>
        <v>https://www.euro-millions.com/results/02-10-2012</v>
      </c>
      <c r="K526" t="str">
        <f t="shared" si="52"/>
        <v>http://lottery.merseyworld.com/Euro/archive/Lott525.html</v>
      </c>
    </row>
    <row r="527" spans="1:11" x14ac:dyDescent="0.25">
      <c r="A527">
        <v>526</v>
      </c>
      <c r="B527" s="2" t="str">
        <f t="shared" si="48"/>
        <v>05-10-2012</v>
      </c>
      <c r="C527" t="s">
        <v>10</v>
      </c>
      <c r="D527">
        <v>5</v>
      </c>
      <c r="E527" t="str">
        <f t="shared" si="49"/>
        <v>05</v>
      </c>
      <c r="F527">
        <v>10</v>
      </c>
      <c r="G527" t="str">
        <f t="shared" si="50"/>
        <v>10</v>
      </c>
      <c r="H527">
        <v>2012</v>
      </c>
      <c r="I527" t="str">
        <f t="shared" si="51"/>
        <v>201210</v>
      </c>
      <c r="J527" t="str">
        <f t="shared" si="53"/>
        <v>https://www.euro-millions.com/results/05-10-2012</v>
      </c>
      <c r="K527" t="str">
        <f t="shared" si="52"/>
        <v>http://lottery.merseyworld.com/Euro/archive/Lott526.html</v>
      </c>
    </row>
    <row r="528" spans="1:11" x14ac:dyDescent="0.25">
      <c r="A528">
        <v>527</v>
      </c>
      <c r="B528" s="2" t="str">
        <f t="shared" si="48"/>
        <v>09-10-2012</v>
      </c>
      <c r="C528" t="s">
        <v>16</v>
      </c>
      <c r="D528">
        <v>9</v>
      </c>
      <c r="E528" t="str">
        <f t="shared" si="49"/>
        <v>09</v>
      </c>
      <c r="F528">
        <v>10</v>
      </c>
      <c r="G528" t="str">
        <f t="shared" si="50"/>
        <v>10</v>
      </c>
      <c r="H528">
        <v>2012</v>
      </c>
      <c r="I528" t="str">
        <f t="shared" si="51"/>
        <v>201210</v>
      </c>
      <c r="J528" t="str">
        <f t="shared" si="53"/>
        <v>https://www.euro-millions.com/results/09-10-2012</v>
      </c>
      <c r="K528" t="str">
        <f t="shared" si="52"/>
        <v>http://lottery.merseyworld.com/Euro/archive/Lott527.html</v>
      </c>
    </row>
    <row r="529" spans="1:11" x14ac:dyDescent="0.25">
      <c r="A529">
        <v>528</v>
      </c>
      <c r="B529" s="2" t="str">
        <f t="shared" si="48"/>
        <v>12-10-2012</v>
      </c>
      <c r="C529" t="s">
        <v>10</v>
      </c>
      <c r="D529">
        <v>12</v>
      </c>
      <c r="E529" t="str">
        <f t="shared" si="49"/>
        <v>12</v>
      </c>
      <c r="F529">
        <v>10</v>
      </c>
      <c r="G529" t="str">
        <f t="shared" si="50"/>
        <v>10</v>
      </c>
      <c r="H529">
        <v>2012</v>
      </c>
      <c r="I529" t="str">
        <f t="shared" si="51"/>
        <v>201210</v>
      </c>
      <c r="J529" t="str">
        <f t="shared" si="53"/>
        <v>https://www.euro-millions.com/results/12-10-2012</v>
      </c>
      <c r="K529" t="str">
        <f t="shared" si="52"/>
        <v>http://lottery.merseyworld.com/Euro/archive/Lott528.html</v>
      </c>
    </row>
    <row r="530" spans="1:11" x14ac:dyDescent="0.25">
      <c r="A530">
        <v>529</v>
      </c>
      <c r="B530" s="2" t="str">
        <f t="shared" si="48"/>
        <v>16-10-2012</v>
      </c>
      <c r="C530" t="s">
        <v>16</v>
      </c>
      <c r="D530">
        <v>16</v>
      </c>
      <c r="E530" t="str">
        <f t="shared" si="49"/>
        <v>16</v>
      </c>
      <c r="F530">
        <v>10</v>
      </c>
      <c r="G530" t="str">
        <f t="shared" si="50"/>
        <v>10</v>
      </c>
      <c r="H530">
        <v>2012</v>
      </c>
      <c r="I530" t="str">
        <f t="shared" si="51"/>
        <v>201210</v>
      </c>
      <c r="J530" t="str">
        <f t="shared" si="53"/>
        <v>https://www.euro-millions.com/results/16-10-2012</v>
      </c>
      <c r="K530" t="str">
        <f t="shared" si="52"/>
        <v>http://lottery.merseyworld.com/Euro/archive/Lott529.html</v>
      </c>
    </row>
    <row r="531" spans="1:11" x14ac:dyDescent="0.25">
      <c r="A531">
        <v>530</v>
      </c>
      <c r="B531" s="2" t="str">
        <f t="shared" si="48"/>
        <v>19-10-2012</v>
      </c>
      <c r="C531" t="s">
        <v>10</v>
      </c>
      <c r="D531">
        <v>19</v>
      </c>
      <c r="E531" t="str">
        <f t="shared" si="49"/>
        <v>19</v>
      </c>
      <c r="F531">
        <v>10</v>
      </c>
      <c r="G531" t="str">
        <f t="shared" si="50"/>
        <v>10</v>
      </c>
      <c r="H531">
        <v>2012</v>
      </c>
      <c r="I531" t="str">
        <f t="shared" si="51"/>
        <v>201210</v>
      </c>
      <c r="J531" t="str">
        <f t="shared" si="53"/>
        <v>https://www.euro-millions.com/results/19-10-2012</v>
      </c>
      <c r="K531" t="str">
        <f t="shared" si="52"/>
        <v>http://lottery.merseyworld.com/Euro/archive/Lott530.html</v>
      </c>
    </row>
    <row r="532" spans="1:11" x14ac:dyDescent="0.25">
      <c r="A532">
        <v>531</v>
      </c>
      <c r="B532" s="2" t="str">
        <f t="shared" si="48"/>
        <v>23-10-2012</v>
      </c>
      <c r="C532" t="s">
        <v>16</v>
      </c>
      <c r="D532">
        <v>23</v>
      </c>
      <c r="E532" t="str">
        <f t="shared" si="49"/>
        <v>23</v>
      </c>
      <c r="F532">
        <v>10</v>
      </c>
      <c r="G532" t="str">
        <f t="shared" si="50"/>
        <v>10</v>
      </c>
      <c r="H532">
        <v>2012</v>
      </c>
      <c r="I532" t="str">
        <f t="shared" si="51"/>
        <v>201210</v>
      </c>
      <c r="J532" t="str">
        <f t="shared" si="53"/>
        <v>https://www.euro-millions.com/results/23-10-2012</v>
      </c>
      <c r="K532" t="str">
        <f t="shared" si="52"/>
        <v>http://lottery.merseyworld.com/Euro/archive/Lott531.html</v>
      </c>
    </row>
    <row r="533" spans="1:11" x14ac:dyDescent="0.25">
      <c r="A533">
        <v>532</v>
      </c>
      <c r="B533" s="2" t="str">
        <f t="shared" si="48"/>
        <v>26-10-2012</v>
      </c>
      <c r="C533" t="s">
        <v>10</v>
      </c>
      <c r="D533">
        <v>26</v>
      </c>
      <c r="E533" t="str">
        <f t="shared" si="49"/>
        <v>26</v>
      </c>
      <c r="F533">
        <v>10</v>
      </c>
      <c r="G533" t="str">
        <f t="shared" si="50"/>
        <v>10</v>
      </c>
      <c r="H533">
        <v>2012</v>
      </c>
      <c r="I533" t="str">
        <f t="shared" si="51"/>
        <v>201210</v>
      </c>
      <c r="J533" t="str">
        <f t="shared" si="53"/>
        <v>https://www.euro-millions.com/results/26-10-2012</v>
      </c>
      <c r="K533" t="str">
        <f t="shared" si="52"/>
        <v>http://lottery.merseyworld.com/Euro/archive/Lott532.html</v>
      </c>
    </row>
    <row r="534" spans="1:11" x14ac:dyDescent="0.25">
      <c r="A534">
        <v>533</v>
      </c>
      <c r="B534" s="2" t="str">
        <f t="shared" si="48"/>
        <v>30-10-2012</v>
      </c>
      <c r="C534" t="s">
        <v>16</v>
      </c>
      <c r="D534">
        <v>30</v>
      </c>
      <c r="E534" t="str">
        <f t="shared" si="49"/>
        <v>30</v>
      </c>
      <c r="F534">
        <v>10</v>
      </c>
      <c r="G534" t="str">
        <f t="shared" si="50"/>
        <v>10</v>
      </c>
      <c r="H534">
        <v>2012</v>
      </c>
      <c r="I534" t="str">
        <f t="shared" si="51"/>
        <v>201210</v>
      </c>
      <c r="J534" t="str">
        <f t="shared" si="53"/>
        <v>https://www.euro-millions.com/results/30-10-2012</v>
      </c>
      <c r="K534" t="str">
        <f t="shared" si="52"/>
        <v>http://lottery.merseyworld.com/Euro/archive/Lott533.html</v>
      </c>
    </row>
    <row r="535" spans="1:11" x14ac:dyDescent="0.25">
      <c r="A535">
        <v>534</v>
      </c>
      <c r="B535" s="2" t="str">
        <f t="shared" si="48"/>
        <v>02-11-2012</v>
      </c>
      <c r="C535" t="s">
        <v>10</v>
      </c>
      <c r="D535">
        <v>2</v>
      </c>
      <c r="E535" t="str">
        <f t="shared" si="49"/>
        <v>02</v>
      </c>
      <c r="F535">
        <v>11</v>
      </c>
      <c r="G535" t="str">
        <f t="shared" si="50"/>
        <v>11</v>
      </c>
      <c r="H535">
        <v>2012</v>
      </c>
      <c r="I535" t="str">
        <f t="shared" si="51"/>
        <v>201211</v>
      </c>
      <c r="J535" t="str">
        <f t="shared" si="53"/>
        <v>https://www.euro-millions.com/results/02-11-2012</v>
      </c>
      <c r="K535" t="str">
        <f t="shared" si="52"/>
        <v>http://lottery.merseyworld.com/Euro/archive/Lott534.html</v>
      </c>
    </row>
    <row r="536" spans="1:11" x14ac:dyDescent="0.25">
      <c r="A536">
        <v>535</v>
      </c>
      <c r="B536" s="2" t="str">
        <f t="shared" si="48"/>
        <v>06-11-2012</v>
      </c>
      <c r="C536" t="s">
        <v>16</v>
      </c>
      <c r="D536">
        <v>6</v>
      </c>
      <c r="E536" t="str">
        <f t="shared" si="49"/>
        <v>06</v>
      </c>
      <c r="F536">
        <v>11</v>
      </c>
      <c r="G536" t="str">
        <f t="shared" si="50"/>
        <v>11</v>
      </c>
      <c r="H536">
        <v>2012</v>
      </c>
      <c r="I536" t="str">
        <f t="shared" si="51"/>
        <v>201211</v>
      </c>
      <c r="J536" t="str">
        <f t="shared" si="53"/>
        <v>https://www.euro-millions.com/results/06-11-2012</v>
      </c>
      <c r="K536" t="str">
        <f t="shared" si="52"/>
        <v>http://lottery.merseyworld.com/Euro/archive/Lott535.html</v>
      </c>
    </row>
    <row r="537" spans="1:11" x14ac:dyDescent="0.25">
      <c r="A537">
        <v>536</v>
      </c>
      <c r="B537" s="2" t="str">
        <f t="shared" si="48"/>
        <v>09-11-2012</v>
      </c>
      <c r="C537" t="s">
        <v>10</v>
      </c>
      <c r="D537">
        <v>9</v>
      </c>
      <c r="E537" t="str">
        <f t="shared" si="49"/>
        <v>09</v>
      </c>
      <c r="F537">
        <v>11</v>
      </c>
      <c r="G537" t="str">
        <f t="shared" si="50"/>
        <v>11</v>
      </c>
      <c r="H537">
        <v>2012</v>
      </c>
      <c r="I537" t="str">
        <f t="shared" si="51"/>
        <v>201211</v>
      </c>
      <c r="J537" t="str">
        <f t="shared" si="53"/>
        <v>https://www.euro-millions.com/results/09-11-2012</v>
      </c>
      <c r="K537" t="str">
        <f t="shared" si="52"/>
        <v>http://lottery.merseyworld.com/Euro/archive/Lott536.html</v>
      </c>
    </row>
    <row r="538" spans="1:11" x14ac:dyDescent="0.25">
      <c r="A538">
        <v>537</v>
      </c>
      <c r="B538" s="2" t="str">
        <f t="shared" si="48"/>
        <v>13-11-2012</v>
      </c>
      <c r="C538" t="s">
        <v>16</v>
      </c>
      <c r="D538">
        <v>13</v>
      </c>
      <c r="E538" t="str">
        <f t="shared" si="49"/>
        <v>13</v>
      </c>
      <c r="F538">
        <v>11</v>
      </c>
      <c r="G538" t="str">
        <f t="shared" si="50"/>
        <v>11</v>
      </c>
      <c r="H538">
        <v>2012</v>
      </c>
      <c r="I538" t="str">
        <f t="shared" si="51"/>
        <v>201211</v>
      </c>
      <c r="J538" t="str">
        <f t="shared" si="53"/>
        <v>https://www.euro-millions.com/results/13-11-2012</v>
      </c>
      <c r="K538" t="str">
        <f t="shared" si="52"/>
        <v>http://lottery.merseyworld.com/Euro/archive/Lott537.html</v>
      </c>
    </row>
    <row r="539" spans="1:11" x14ac:dyDescent="0.25">
      <c r="A539">
        <v>538</v>
      </c>
      <c r="B539" s="2" t="str">
        <f t="shared" si="48"/>
        <v>16-11-2012</v>
      </c>
      <c r="C539" t="s">
        <v>10</v>
      </c>
      <c r="D539">
        <v>16</v>
      </c>
      <c r="E539" t="str">
        <f t="shared" si="49"/>
        <v>16</v>
      </c>
      <c r="F539">
        <v>11</v>
      </c>
      <c r="G539" t="str">
        <f t="shared" si="50"/>
        <v>11</v>
      </c>
      <c r="H539">
        <v>2012</v>
      </c>
      <c r="I539" t="str">
        <f t="shared" si="51"/>
        <v>201211</v>
      </c>
      <c r="J539" t="str">
        <f t="shared" si="53"/>
        <v>https://www.euro-millions.com/results/16-11-2012</v>
      </c>
      <c r="K539" t="str">
        <f t="shared" si="52"/>
        <v>http://lottery.merseyworld.com/Euro/archive/Lott538.html</v>
      </c>
    </row>
    <row r="540" spans="1:11" x14ac:dyDescent="0.25">
      <c r="A540">
        <v>539</v>
      </c>
      <c r="B540" s="2" t="str">
        <f t="shared" si="48"/>
        <v>20-11-2012</v>
      </c>
      <c r="C540" t="s">
        <v>16</v>
      </c>
      <c r="D540">
        <v>20</v>
      </c>
      <c r="E540" t="str">
        <f t="shared" si="49"/>
        <v>20</v>
      </c>
      <c r="F540">
        <v>11</v>
      </c>
      <c r="G540" t="str">
        <f t="shared" si="50"/>
        <v>11</v>
      </c>
      <c r="H540">
        <v>2012</v>
      </c>
      <c r="I540" t="str">
        <f t="shared" si="51"/>
        <v>201211</v>
      </c>
      <c r="J540" t="str">
        <f t="shared" si="53"/>
        <v>https://www.euro-millions.com/results/20-11-2012</v>
      </c>
      <c r="K540" t="str">
        <f t="shared" si="52"/>
        <v>http://lottery.merseyworld.com/Euro/archive/Lott539.html</v>
      </c>
    </row>
    <row r="541" spans="1:11" x14ac:dyDescent="0.25">
      <c r="A541">
        <v>540</v>
      </c>
      <c r="B541" s="2" t="str">
        <f t="shared" si="48"/>
        <v>23-11-2012</v>
      </c>
      <c r="C541" t="s">
        <v>10</v>
      </c>
      <c r="D541">
        <v>23</v>
      </c>
      <c r="E541" t="str">
        <f t="shared" si="49"/>
        <v>23</v>
      </c>
      <c r="F541">
        <v>11</v>
      </c>
      <c r="G541" t="str">
        <f t="shared" si="50"/>
        <v>11</v>
      </c>
      <c r="H541">
        <v>2012</v>
      </c>
      <c r="I541" t="str">
        <f t="shared" si="51"/>
        <v>201211</v>
      </c>
      <c r="J541" t="str">
        <f t="shared" si="53"/>
        <v>https://www.euro-millions.com/results/23-11-2012</v>
      </c>
      <c r="K541" t="str">
        <f t="shared" si="52"/>
        <v>http://lottery.merseyworld.com/Euro/archive/Lott540.html</v>
      </c>
    </row>
    <row r="542" spans="1:11" x14ac:dyDescent="0.25">
      <c r="A542">
        <v>541</v>
      </c>
      <c r="B542" s="2" t="str">
        <f t="shared" si="48"/>
        <v>27-11-2012</v>
      </c>
      <c r="C542" t="s">
        <v>16</v>
      </c>
      <c r="D542">
        <v>27</v>
      </c>
      <c r="E542" t="str">
        <f t="shared" si="49"/>
        <v>27</v>
      </c>
      <c r="F542">
        <v>11</v>
      </c>
      <c r="G542" t="str">
        <f t="shared" si="50"/>
        <v>11</v>
      </c>
      <c r="H542">
        <v>2012</v>
      </c>
      <c r="I542" t="str">
        <f t="shared" si="51"/>
        <v>201211</v>
      </c>
      <c r="J542" t="str">
        <f t="shared" si="53"/>
        <v>https://www.euro-millions.com/results/27-11-2012</v>
      </c>
      <c r="K542" t="str">
        <f t="shared" si="52"/>
        <v>http://lottery.merseyworld.com/Euro/archive/Lott541.html</v>
      </c>
    </row>
    <row r="543" spans="1:11" x14ac:dyDescent="0.25">
      <c r="A543">
        <v>542</v>
      </c>
      <c r="B543" s="2" t="str">
        <f t="shared" si="48"/>
        <v>30-11-2012</v>
      </c>
      <c r="C543" t="s">
        <v>10</v>
      </c>
      <c r="D543">
        <v>30</v>
      </c>
      <c r="E543" t="str">
        <f t="shared" si="49"/>
        <v>30</v>
      </c>
      <c r="F543">
        <v>11</v>
      </c>
      <c r="G543" t="str">
        <f t="shared" si="50"/>
        <v>11</v>
      </c>
      <c r="H543">
        <v>2012</v>
      </c>
      <c r="I543" t="str">
        <f t="shared" si="51"/>
        <v>201211</v>
      </c>
      <c r="J543" t="str">
        <f t="shared" si="53"/>
        <v>https://www.euro-millions.com/results/30-11-2012</v>
      </c>
      <c r="K543" t="str">
        <f t="shared" si="52"/>
        <v>http://lottery.merseyworld.com/Euro/archive/Lott542.html</v>
      </c>
    </row>
    <row r="544" spans="1:11" x14ac:dyDescent="0.25">
      <c r="A544">
        <v>543</v>
      </c>
      <c r="B544" s="2" t="str">
        <f t="shared" si="48"/>
        <v>04-12-2012</v>
      </c>
      <c r="C544" t="s">
        <v>16</v>
      </c>
      <c r="D544">
        <v>4</v>
      </c>
      <c r="E544" t="str">
        <f t="shared" si="49"/>
        <v>04</v>
      </c>
      <c r="F544">
        <v>12</v>
      </c>
      <c r="G544" t="str">
        <f t="shared" si="50"/>
        <v>12</v>
      </c>
      <c r="H544">
        <v>2012</v>
      </c>
      <c r="I544" t="str">
        <f t="shared" si="51"/>
        <v>201212</v>
      </c>
      <c r="J544" t="str">
        <f t="shared" si="53"/>
        <v>https://www.euro-millions.com/results/04-12-2012</v>
      </c>
      <c r="K544" t="str">
        <f t="shared" si="52"/>
        <v>http://lottery.merseyworld.com/Euro/archive/Lott543.html</v>
      </c>
    </row>
    <row r="545" spans="1:11" x14ac:dyDescent="0.25">
      <c r="A545">
        <v>544</v>
      </c>
      <c r="B545" s="2" t="str">
        <f t="shared" si="48"/>
        <v>07-12-2012</v>
      </c>
      <c r="C545" t="s">
        <v>10</v>
      </c>
      <c r="D545">
        <v>7</v>
      </c>
      <c r="E545" t="str">
        <f t="shared" si="49"/>
        <v>07</v>
      </c>
      <c r="F545">
        <v>12</v>
      </c>
      <c r="G545" t="str">
        <f t="shared" si="50"/>
        <v>12</v>
      </c>
      <c r="H545">
        <v>2012</v>
      </c>
      <c r="I545" t="str">
        <f t="shared" si="51"/>
        <v>201212</v>
      </c>
      <c r="J545" t="str">
        <f t="shared" si="53"/>
        <v>https://www.euro-millions.com/results/07-12-2012</v>
      </c>
      <c r="K545" t="str">
        <f t="shared" si="52"/>
        <v>http://lottery.merseyworld.com/Euro/archive/Lott544.html</v>
      </c>
    </row>
    <row r="546" spans="1:11" x14ac:dyDescent="0.25">
      <c r="A546">
        <v>545</v>
      </c>
      <c r="B546" s="2" t="str">
        <f t="shared" si="48"/>
        <v>11-12-2012</v>
      </c>
      <c r="C546" t="s">
        <v>16</v>
      </c>
      <c r="D546">
        <v>11</v>
      </c>
      <c r="E546" t="str">
        <f t="shared" si="49"/>
        <v>11</v>
      </c>
      <c r="F546">
        <v>12</v>
      </c>
      <c r="G546" t="str">
        <f t="shared" si="50"/>
        <v>12</v>
      </c>
      <c r="H546">
        <v>2012</v>
      </c>
      <c r="I546" t="str">
        <f t="shared" si="51"/>
        <v>201212</v>
      </c>
      <c r="J546" t="str">
        <f t="shared" si="53"/>
        <v>https://www.euro-millions.com/results/11-12-2012</v>
      </c>
      <c r="K546" t="str">
        <f t="shared" si="52"/>
        <v>http://lottery.merseyworld.com/Euro/archive/Lott545.html</v>
      </c>
    </row>
    <row r="547" spans="1:11" x14ac:dyDescent="0.25">
      <c r="A547">
        <v>546</v>
      </c>
      <c r="B547" s="2" t="str">
        <f t="shared" si="48"/>
        <v>14-12-2012</v>
      </c>
      <c r="C547" t="s">
        <v>10</v>
      </c>
      <c r="D547">
        <v>14</v>
      </c>
      <c r="E547" t="str">
        <f t="shared" si="49"/>
        <v>14</v>
      </c>
      <c r="F547">
        <v>12</v>
      </c>
      <c r="G547" t="str">
        <f t="shared" si="50"/>
        <v>12</v>
      </c>
      <c r="H547">
        <v>2012</v>
      </c>
      <c r="I547" t="str">
        <f t="shared" si="51"/>
        <v>201212</v>
      </c>
      <c r="J547" t="str">
        <f t="shared" si="53"/>
        <v>https://www.euro-millions.com/results/14-12-2012</v>
      </c>
      <c r="K547" t="str">
        <f t="shared" si="52"/>
        <v>http://lottery.merseyworld.com/Euro/archive/Lott546.html</v>
      </c>
    </row>
    <row r="548" spans="1:11" x14ac:dyDescent="0.25">
      <c r="A548">
        <v>547</v>
      </c>
      <c r="B548" s="2" t="str">
        <f t="shared" si="48"/>
        <v>18-12-2012</v>
      </c>
      <c r="C548" t="s">
        <v>16</v>
      </c>
      <c r="D548">
        <v>18</v>
      </c>
      <c r="E548" t="str">
        <f t="shared" si="49"/>
        <v>18</v>
      </c>
      <c r="F548">
        <v>12</v>
      </c>
      <c r="G548" t="str">
        <f t="shared" si="50"/>
        <v>12</v>
      </c>
      <c r="H548">
        <v>2012</v>
      </c>
      <c r="I548" t="str">
        <f t="shared" si="51"/>
        <v>201212</v>
      </c>
      <c r="J548" t="str">
        <f t="shared" si="53"/>
        <v>https://www.euro-millions.com/results/18-12-2012</v>
      </c>
      <c r="K548" t="str">
        <f t="shared" si="52"/>
        <v>http://lottery.merseyworld.com/Euro/archive/Lott547.html</v>
      </c>
    </row>
    <row r="549" spans="1:11" x14ac:dyDescent="0.25">
      <c r="A549">
        <v>548</v>
      </c>
      <c r="B549" s="2" t="str">
        <f t="shared" si="48"/>
        <v>21-12-2012</v>
      </c>
      <c r="C549" t="s">
        <v>10</v>
      </c>
      <c r="D549">
        <v>21</v>
      </c>
      <c r="E549" t="str">
        <f t="shared" si="49"/>
        <v>21</v>
      </c>
      <c r="F549">
        <v>12</v>
      </c>
      <c r="G549" t="str">
        <f t="shared" si="50"/>
        <v>12</v>
      </c>
      <c r="H549">
        <v>2012</v>
      </c>
      <c r="I549" t="str">
        <f t="shared" si="51"/>
        <v>201212</v>
      </c>
      <c r="J549" t="str">
        <f t="shared" si="53"/>
        <v>https://www.euro-millions.com/results/21-12-2012</v>
      </c>
      <c r="K549" t="str">
        <f t="shared" si="52"/>
        <v>http://lottery.merseyworld.com/Euro/archive/Lott548.html</v>
      </c>
    </row>
    <row r="550" spans="1:11" x14ac:dyDescent="0.25">
      <c r="A550">
        <v>549</v>
      </c>
      <c r="B550" s="2" t="str">
        <f t="shared" si="48"/>
        <v>25-12-2012</v>
      </c>
      <c r="C550" t="s">
        <v>16</v>
      </c>
      <c r="D550">
        <v>25</v>
      </c>
      <c r="E550" t="str">
        <f t="shared" si="49"/>
        <v>25</v>
      </c>
      <c r="F550">
        <v>12</v>
      </c>
      <c r="G550" t="str">
        <f t="shared" si="50"/>
        <v>12</v>
      </c>
      <c r="H550">
        <v>2012</v>
      </c>
      <c r="I550" t="str">
        <f t="shared" si="51"/>
        <v>201212</v>
      </c>
      <c r="J550" t="str">
        <f t="shared" si="53"/>
        <v>https://www.euro-millions.com/results/25-12-2012</v>
      </c>
      <c r="K550" t="str">
        <f t="shared" si="52"/>
        <v>http://lottery.merseyworld.com/Euro/archive/Lott549.html</v>
      </c>
    </row>
    <row r="551" spans="1:11" x14ac:dyDescent="0.25">
      <c r="A551">
        <v>550</v>
      </c>
      <c r="B551" s="2" t="str">
        <f t="shared" si="48"/>
        <v>28-12-2012</v>
      </c>
      <c r="C551" t="s">
        <v>10</v>
      </c>
      <c r="D551">
        <v>28</v>
      </c>
      <c r="E551" t="str">
        <f t="shared" si="49"/>
        <v>28</v>
      </c>
      <c r="F551">
        <v>12</v>
      </c>
      <c r="G551" t="str">
        <f t="shared" si="50"/>
        <v>12</v>
      </c>
      <c r="H551">
        <v>2012</v>
      </c>
      <c r="I551" t="str">
        <f t="shared" si="51"/>
        <v>201212</v>
      </c>
      <c r="J551" t="str">
        <f t="shared" si="53"/>
        <v>https://www.euro-millions.com/results/28-12-2012</v>
      </c>
      <c r="K551" t="str">
        <f t="shared" si="52"/>
        <v>http://lottery.merseyworld.com/Euro/archive/Lott550.html</v>
      </c>
    </row>
    <row r="552" spans="1:11" x14ac:dyDescent="0.25">
      <c r="A552">
        <v>551</v>
      </c>
      <c r="B552" s="2" t="str">
        <f t="shared" si="48"/>
        <v>01-01-2013</v>
      </c>
      <c r="C552" t="s">
        <v>16</v>
      </c>
      <c r="D552">
        <v>1</v>
      </c>
      <c r="E552" t="str">
        <f t="shared" si="49"/>
        <v>01</v>
      </c>
      <c r="F552">
        <v>1</v>
      </c>
      <c r="G552" t="str">
        <f t="shared" si="50"/>
        <v>01</v>
      </c>
      <c r="H552">
        <v>2013</v>
      </c>
      <c r="I552" t="str">
        <f t="shared" si="51"/>
        <v>201301</v>
      </c>
      <c r="J552" t="str">
        <f t="shared" si="53"/>
        <v>https://www.euro-millions.com/results/01-01-2013</v>
      </c>
      <c r="K552" t="str">
        <f t="shared" si="52"/>
        <v>http://lottery.merseyworld.com/Euro/archive/Lott551.html</v>
      </c>
    </row>
    <row r="553" spans="1:11" x14ac:dyDescent="0.25">
      <c r="A553">
        <v>552</v>
      </c>
      <c r="B553" s="2" t="str">
        <f t="shared" si="48"/>
        <v>04-01-2013</v>
      </c>
      <c r="C553" t="s">
        <v>10</v>
      </c>
      <c r="D553">
        <v>4</v>
      </c>
      <c r="E553" t="str">
        <f t="shared" si="49"/>
        <v>04</v>
      </c>
      <c r="F553">
        <v>1</v>
      </c>
      <c r="G553" t="str">
        <f t="shared" si="50"/>
        <v>01</v>
      </c>
      <c r="H553">
        <v>2013</v>
      </c>
      <c r="I553" t="str">
        <f t="shared" si="51"/>
        <v>201301</v>
      </c>
      <c r="J553" t="str">
        <f t="shared" si="53"/>
        <v>https://www.euro-millions.com/results/04-01-2013</v>
      </c>
      <c r="K553" t="str">
        <f t="shared" si="52"/>
        <v>http://lottery.merseyworld.com/Euro/archive/Lott552.html</v>
      </c>
    </row>
    <row r="554" spans="1:11" x14ac:dyDescent="0.25">
      <c r="A554">
        <v>553</v>
      </c>
      <c r="B554" s="2" t="str">
        <f t="shared" si="48"/>
        <v>08-01-2013</v>
      </c>
      <c r="C554" t="s">
        <v>16</v>
      </c>
      <c r="D554">
        <v>8</v>
      </c>
      <c r="E554" t="str">
        <f t="shared" si="49"/>
        <v>08</v>
      </c>
      <c r="F554">
        <v>1</v>
      </c>
      <c r="G554" t="str">
        <f t="shared" si="50"/>
        <v>01</v>
      </c>
      <c r="H554">
        <v>2013</v>
      </c>
      <c r="I554" t="str">
        <f t="shared" si="51"/>
        <v>201301</v>
      </c>
      <c r="J554" t="str">
        <f t="shared" si="53"/>
        <v>https://www.euro-millions.com/results/08-01-2013</v>
      </c>
      <c r="K554" t="str">
        <f t="shared" si="52"/>
        <v>http://lottery.merseyworld.com/Euro/archive/Lott553.html</v>
      </c>
    </row>
    <row r="555" spans="1:11" x14ac:dyDescent="0.25">
      <c r="A555">
        <v>554</v>
      </c>
      <c r="B555" s="2" t="str">
        <f t="shared" si="48"/>
        <v>11-01-2013</v>
      </c>
      <c r="C555" t="s">
        <v>10</v>
      </c>
      <c r="D555">
        <v>11</v>
      </c>
      <c r="E555" t="str">
        <f t="shared" si="49"/>
        <v>11</v>
      </c>
      <c r="F555">
        <v>1</v>
      </c>
      <c r="G555" t="str">
        <f t="shared" si="50"/>
        <v>01</v>
      </c>
      <c r="H555">
        <v>2013</v>
      </c>
      <c r="I555" t="str">
        <f t="shared" si="51"/>
        <v>201301</v>
      </c>
      <c r="J555" t="str">
        <f t="shared" si="53"/>
        <v>https://www.euro-millions.com/results/11-01-2013</v>
      </c>
      <c r="K555" t="str">
        <f t="shared" si="52"/>
        <v>http://lottery.merseyworld.com/Euro/archive/Lott554.html</v>
      </c>
    </row>
    <row r="556" spans="1:11" x14ac:dyDescent="0.25">
      <c r="A556">
        <v>555</v>
      </c>
      <c r="B556" s="2" t="str">
        <f t="shared" si="48"/>
        <v>15-01-2013</v>
      </c>
      <c r="C556" t="s">
        <v>16</v>
      </c>
      <c r="D556">
        <v>15</v>
      </c>
      <c r="E556" t="str">
        <f t="shared" si="49"/>
        <v>15</v>
      </c>
      <c r="F556">
        <v>1</v>
      </c>
      <c r="G556" t="str">
        <f t="shared" si="50"/>
        <v>01</v>
      </c>
      <c r="H556">
        <v>2013</v>
      </c>
      <c r="I556" t="str">
        <f t="shared" si="51"/>
        <v>201301</v>
      </c>
      <c r="J556" t="str">
        <f t="shared" si="53"/>
        <v>https://www.euro-millions.com/results/15-01-2013</v>
      </c>
      <c r="K556" t="str">
        <f t="shared" si="52"/>
        <v>http://lottery.merseyworld.com/Euro/archive/Lott555.html</v>
      </c>
    </row>
    <row r="557" spans="1:11" x14ac:dyDescent="0.25">
      <c r="A557">
        <v>556</v>
      </c>
      <c r="B557" s="2" t="str">
        <f t="shared" si="48"/>
        <v>18-01-2013</v>
      </c>
      <c r="C557" t="s">
        <v>10</v>
      </c>
      <c r="D557">
        <v>18</v>
      </c>
      <c r="E557" t="str">
        <f t="shared" si="49"/>
        <v>18</v>
      </c>
      <c r="F557">
        <v>1</v>
      </c>
      <c r="G557" t="str">
        <f t="shared" si="50"/>
        <v>01</v>
      </c>
      <c r="H557">
        <v>2013</v>
      </c>
      <c r="I557" t="str">
        <f t="shared" si="51"/>
        <v>201301</v>
      </c>
      <c r="J557" t="str">
        <f t="shared" si="53"/>
        <v>https://www.euro-millions.com/results/18-01-2013</v>
      </c>
      <c r="K557" t="str">
        <f t="shared" si="52"/>
        <v>http://lottery.merseyworld.com/Euro/archive/Lott556.html</v>
      </c>
    </row>
    <row r="558" spans="1:11" x14ac:dyDescent="0.25">
      <c r="A558">
        <v>557</v>
      </c>
      <c r="B558" s="2" t="str">
        <f t="shared" si="48"/>
        <v>22-01-2013</v>
      </c>
      <c r="C558" t="s">
        <v>16</v>
      </c>
      <c r="D558">
        <v>22</v>
      </c>
      <c r="E558" t="str">
        <f t="shared" si="49"/>
        <v>22</v>
      </c>
      <c r="F558">
        <v>1</v>
      </c>
      <c r="G558" t="str">
        <f t="shared" si="50"/>
        <v>01</v>
      </c>
      <c r="H558">
        <v>2013</v>
      </c>
      <c r="I558" t="str">
        <f t="shared" si="51"/>
        <v>201301</v>
      </c>
      <c r="J558" t="str">
        <f t="shared" si="53"/>
        <v>https://www.euro-millions.com/results/22-01-2013</v>
      </c>
      <c r="K558" t="str">
        <f t="shared" si="52"/>
        <v>http://lottery.merseyworld.com/Euro/archive/Lott557.html</v>
      </c>
    </row>
    <row r="559" spans="1:11" x14ac:dyDescent="0.25">
      <c r="A559">
        <v>558</v>
      </c>
      <c r="B559" s="2" t="str">
        <f t="shared" si="48"/>
        <v>25-01-2013</v>
      </c>
      <c r="C559" t="s">
        <v>10</v>
      </c>
      <c r="D559">
        <v>25</v>
      </c>
      <c r="E559" t="str">
        <f t="shared" si="49"/>
        <v>25</v>
      </c>
      <c r="F559">
        <v>1</v>
      </c>
      <c r="G559" t="str">
        <f t="shared" si="50"/>
        <v>01</v>
      </c>
      <c r="H559">
        <v>2013</v>
      </c>
      <c r="I559" t="str">
        <f t="shared" si="51"/>
        <v>201301</v>
      </c>
      <c r="J559" t="str">
        <f t="shared" si="53"/>
        <v>https://www.euro-millions.com/results/25-01-2013</v>
      </c>
      <c r="K559" t="str">
        <f t="shared" si="52"/>
        <v>http://lottery.merseyworld.com/Euro/archive/Lott558.html</v>
      </c>
    </row>
    <row r="560" spans="1:11" x14ac:dyDescent="0.25">
      <c r="A560">
        <v>559</v>
      </c>
      <c r="B560" s="2" t="str">
        <f t="shared" si="48"/>
        <v>29-01-2013</v>
      </c>
      <c r="C560" t="s">
        <v>16</v>
      </c>
      <c r="D560">
        <v>29</v>
      </c>
      <c r="E560" t="str">
        <f t="shared" si="49"/>
        <v>29</v>
      </c>
      <c r="F560">
        <v>1</v>
      </c>
      <c r="G560" t="str">
        <f t="shared" si="50"/>
        <v>01</v>
      </c>
      <c r="H560">
        <v>2013</v>
      </c>
      <c r="I560" t="str">
        <f t="shared" si="51"/>
        <v>201301</v>
      </c>
      <c r="J560" t="str">
        <f t="shared" si="53"/>
        <v>https://www.euro-millions.com/results/29-01-2013</v>
      </c>
      <c r="K560" t="str">
        <f t="shared" si="52"/>
        <v>http://lottery.merseyworld.com/Euro/archive/Lott559.html</v>
      </c>
    </row>
    <row r="561" spans="1:11" x14ac:dyDescent="0.25">
      <c r="A561">
        <v>560</v>
      </c>
      <c r="B561" s="2" t="str">
        <f t="shared" si="48"/>
        <v>01-02-2013</v>
      </c>
      <c r="C561" t="s">
        <v>10</v>
      </c>
      <c r="D561">
        <v>1</v>
      </c>
      <c r="E561" t="str">
        <f t="shared" si="49"/>
        <v>01</v>
      </c>
      <c r="F561">
        <v>2</v>
      </c>
      <c r="G561" t="str">
        <f t="shared" si="50"/>
        <v>02</v>
      </c>
      <c r="H561">
        <v>2013</v>
      </c>
      <c r="I561" t="str">
        <f t="shared" si="51"/>
        <v>201302</v>
      </c>
      <c r="J561" t="str">
        <f t="shared" si="53"/>
        <v>https://www.euro-millions.com/results/01-02-2013</v>
      </c>
      <c r="K561" t="str">
        <f t="shared" si="52"/>
        <v>http://lottery.merseyworld.com/Euro/archive/Lott560.html</v>
      </c>
    </row>
    <row r="562" spans="1:11" x14ac:dyDescent="0.25">
      <c r="A562">
        <v>561</v>
      </c>
      <c r="B562" s="2" t="str">
        <f t="shared" si="48"/>
        <v>05-02-2013</v>
      </c>
      <c r="C562" t="s">
        <v>16</v>
      </c>
      <c r="D562">
        <v>5</v>
      </c>
      <c r="E562" t="str">
        <f t="shared" si="49"/>
        <v>05</v>
      </c>
      <c r="F562">
        <v>2</v>
      </c>
      <c r="G562" t="str">
        <f t="shared" si="50"/>
        <v>02</v>
      </c>
      <c r="H562">
        <v>2013</v>
      </c>
      <c r="I562" t="str">
        <f t="shared" si="51"/>
        <v>201302</v>
      </c>
      <c r="J562" t="str">
        <f t="shared" si="53"/>
        <v>https://www.euro-millions.com/results/05-02-2013</v>
      </c>
      <c r="K562" t="str">
        <f t="shared" si="52"/>
        <v>http://lottery.merseyworld.com/Euro/archive/Lott561.html</v>
      </c>
    </row>
    <row r="563" spans="1:11" x14ac:dyDescent="0.25">
      <c r="A563">
        <v>562</v>
      </c>
      <c r="B563" s="2" t="str">
        <f t="shared" si="48"/>
        <v>08-02-2013</v>
      </c>
      <c r="C563" t="s">
        <v>10</v>
      </c>
      <c r="D563">
        <v>8</v>
      </c>
      <c r="E563" t="str">
        <f t="shared" si="49"/>
        <v>08</v>
      </c>
      <c r="F563">
        <v>2</v>
      </c>
      <c r="G563" t="str">
        <f t="shared" si="50"/>
        <v>02</v>
      </c>
      <c r="H563">
        <v>2013</v>
      </c>
      <c r="I563" t="str">
        <f t="shared" si="51"/>
        <v>201302</v>
      </c>
      <c r="J563" t="str">
        <f t="shared" si="53"/>
        <v>https://www.euro-millions.com/results/08-02-2013</v>
      </c>
      <c r="K563" t="str">
        <f t="shared" si="52"/>
        <v>http://lottery.merseyworld.com/Euro/archive/Lott562.html</v>
      </c>
    </row>
    <row r="564" spans="1:11" x14ac:dyDescent="0.25">
      <c r="A564">
        <v>563</v>
      </c>
      <c r="B564" s="2" t="str">
        <f t="shared" si="48"/>
        <v>12-02-2013</v>
      </c>
      <c r="C564" t="s">
        <v>16</v>
      </c>
      <c r="D564">
        <v>12</v>
      </c>
      <c r="E564" t="str">
        <f t="shared" si="49"/>
        <v>12</v>
      </c>
      <c r="F564">
        <v>2</v>
      </c>
      <c r="G564" t="str">
        <f t="shared" si="50"/>
        <v>02</v>
      </c>
      <c r="H564">
        <v>2013</v>
      </c>
      <c r="I564" t="str">
        <f t="shared" si="51"/>
        <v>201302</v>
      </c>
      <c r="J564" t="str">
        <f t="shared" si="53"/>
        <v>https://www.euro-millions.com/results/12-02-2013</v>
      </c>
      <c r="K564" t="str">
        <f t="shared" si="52"/>
        <v>http://lottery.merseyworld.com/Euro/archive/Lott563.html</v>
      </c>
    </row>
    <row r="565" spans="1:11" x14ac:dyDescent="0.25">
      <c r="A565">
        <v>564</v>
      </c>
      <c r="B565" s="2" t="str">
        <f t="shared" si="48"/>
        <v>15-02-2013</v>
      </c>
      <c r="C565" t="s">
        <v>10</v>
      </c>
      <c r="D565">
        <v>15</v>
      </c>
      <c r="E565" t="str">
        <f t="shared" si="49"/>
        <v>15</v>
      </c>
      <c r="F565">
        <v>2</v>
      </c>
      <c r="G565" t="str">
        <f t="shared" si="50"/>
        <v>02</v>
      </c>
      <c r="H565">
        <v>2013</v>
      </c>
      <c r="I565" t="str">
        <f t="shared" si="51"/>
        <v>201302</v>
      </c>
      <c r="J565" t="str">
        <f t="shared" si="53"/>
        <v>https://www.euro-millions.com/results/15-02-2013</v>
      </c>
      <c r="K565" t="str">
        <f t="shared" si="52"/>
        <v>http://lottery.merseyworld.com/Euro/archive/Lott564.html</v>
      </c>
    </row>
    <row r="566" spans="1:11" x14ac:dyDescent="0.25">
      <c r="A566">
        <v>565</v>
      </c>
      <c r="B566" s="2" t="str">
        <f t="shared" si="48"/>
        <v>19-02-2013</v>
      </c>
      <c r="C566" t="s">
        <v>16</v>
      </c>
      <c r="D566">
        <v>19</v>
      </c>
      <c r="E566" t="str">
        <f t="shared" si="49"/>
        <v>19</v>
      </c>
      <c r="F566">
        <v>2</v>
      </c>
      <c r="G566" t="str">
        <f t="shared" si="50"/>
        <v>02</v>
      </c>
      <c r="H566">
        <v>2013</v>
      </c>
      <c r="I566" t="str">
        <f t="shared" si="51"/>
        <v>201302</v>
      </c>
      <c r="J566" t="str">
        <f t="shared" si="53"/>
        <v>https://www.euro-millions.com/results/19-02-2013</v>
      </c>
      <c r="K566" t="str">
        <f t="shared" si="52"/>
        <v>http://lottery.merseyworld.com/Euro/archive/Lott565.html</v>
      </c>
    </row>
    <row r="567" spans="1:11" x14ac:dyDescent="0.25">
      <c r="A567">
        <v>566</v>
      </c>
      <c r="B567" s="2" t="str">
        <f t="shared" si="48"/>
        <v>22-02-2013</v>
      </c>
      <c r="C567" t="s">
        <v>10</v>
      </c>
      <c r="D567">
        <v>22</v>
      </c>
      <c r="E567" t="str">
        <f t="shared" si="49"/>
        <v>22</v>
      </c>
      <c r="F567">
        <v>2</v>
      </c>
      <c r="G567" t="str">
        <f t="shared" si="50"/>
        <v>02</v>
      </c>
      <c r="H567">
        <v>2013</v>
      </c>
      <c r="I567" t="str">
        <f t="shared" si="51"/>
        <v>201302</v>
      </c>
      <c r="J567" t="str">
        <f t="shared" si="53"/>
        <v>https://www.euro-millions.com/results/22-02-2013</v>
      </c>
      <c r="K567" t="str">
        <f t="shared" si="52"/>
        <v>http://lottery.merseyworld.com/Euro/archive/Lott566.html</v>
      </c>
    </row>
    <row r="568" spans="1:11" x14ac:dyDescent="0.25">
      <c r="A568">
        <v>567</v>
      </c>
      <c r="B568" s="2" t="str">
        <f t="shared" si="48"/>
        <v>26-02-2013</v>
      </c>
      <c r="C568" t="s">
        <v>16</v>
      </c>
      <c r="D568">
        <v>26</v>
      </c>
      <c r="E568" t="str">
        <f t="shared" si="49"/>
        <v>26</v>
      </c>
      <c r="F568">
        <v>2</v>
      </c>
      <c r="G568" t="str">
        <f t="shared" si="50"/>
        <v>02</v>
      </c>
      <c r="H568">
        <v>2013</v>
      </c>
      <c r="I568" t="str">
        <f t="shared" si="51"/>
        <v>201302</v>
      </c>
      <c r="J568" t="str">
        <f t="shared" si="53"/>
        <v>https://www.euro-millions.com/results/26-02-2013</v>
      </c>
      <c r="K568" t="str">
        <f t="shared" si="52"/>
        <v>http://lottery.merseyworld.com/Euro/archive/Lott567.html</v>
      </c>
    </row>
    <row r="569" spans="1:11" x14ac:dyDescent="0.25">
      <c r="A569">
        <v>568</v>
      </c>
      <c r="B569" s="2" t="str">
        <f t="shared" si="48"/>
        <v>01-03-2013</v>
      </c>
      <c r="C569" t="s">
        <v>10</v>
      </c>
      <c r="D569">
        <v>1</v>
      </c>
      <c r="E569" t="str">
        <f t="shared" si="49"/>
        <v>01</v>
      </c>
      <c r="F569">
        <v>3</v>
      </c>
      <c r="G569" t="str">
        <f t="shared" si="50"/>
        <v>03</v>
      </c>
      <c r="H569">
        <v>2013</v>
      </c>
      <c r="I569" t="str">
        <f t="shared" si="51"/>
        <v>201303</v>
      </c>
      <c r="J569" t="str">
        <f t="shared" si="53"/>
        <v>https://www.euro-millions.com/results/01-03-2013</v>
      </c>
      <c r="K569" t="str">
        <f t="shared" si="52"/>
        <v>http://lottery.merseyworld.com/Euro/archive/Lott568.html</v>
      </c>
    </row>
    <row r="570" spans="1:11" x14ac:dyDescent="0.25">
      <c r="A570">
        <v>569</v>
      </c>
      <c r="B570" s="2" t="str">
        <f t="shared" si="48"/>
        <v>05-03-2013</v>
      </c>
      <c r="C570" t="s">
        <v>16</v>
      </c>
      <c r="D570">
        <v>5</v>
      </c>
      <c r="E570" t="str">
        <f t="shared" si="49"/>
        <v>05</v>
      </c>
      <c r="F570">
        <v>3</v>
      </c>
      <c r="G570" t="str">
        <f t="shared" si="50"/>
        <v>03</v>
      </c>
      <c r="H570">
        <v>2013</v>
      </c>
      <c r="I570" t="str">
        <f t="shared" si="51"/>
        <v>201303</v>
      </c>
      <c r="J570" t="str">
        <f t="shared" si="53"/>
        <v>https://www.euro-millions.com/results/05-03-2013</v>
      </c>
      <c r="K570" t="str">
        <f t="shared" si="52"/>
        <v>http://lottery.merseyworld.com/Euro/archive/Lott569.html</v>
      </c>
    </row>
    <row r="571" spans="1:11" x14ac:dyDescent="0.25">
      <c r="A571">
        <v>570</v>
      </c>
      <c r="B571" s="2" t="str">
        <f t="shared" si="48"/>
        <v>08-03-2013</v>
      </c>
      <c r="C571" t="s">
        <v>10</v>
      </c>
      <c r="D571">
        <v>8</v>
      </c>
      <c r="E571" t="str">
        <f t="shared" si="49"/>
        <v>08</v>
      </c>
      <c r="F571">
        <v>3</v>
      </c>
      <c r="G571" t="str">
        <f t="shared" si="50"/>
        <v>03</v>
      </c>
      <c r="H571">
        <v>2013</v>
      </c>
      <c r="I571" t="str">
        <f t="shared" si="51"/>
        <v>201303</v>
      </c>
      <c r="J571" t="str">
        <f t="shared" si="53"/>
        <v>https://www.euro-millions.com/results/08-03-2013</v>
      </c>
      <c r="K571" t="str">
        <f t="shared" si="52"/>
        <v>http://lottery.merseyworld.com/Euro/archive/Lott570.html</v>
      </c>
    </row>
    <row r="572" spans="1:11" x14ac:dyDescent="0.25">
      <c r="A572">
        <v>571</v>
      </c>
      <c r="B572" s="2" t="str">
        <f t="shared" si="48"/>
        <v>12-03-2013</v>
      </c>
      <c r="C572" t="s">
        <v>16</v>
      </c>
      <c r="D572">
        <v>12</v>
      </c>
      <c r="E572" t="str">
        <f t="shared" si="49"/>
        <v>12</v>
      </c>
      <c r="F572">
        <v>3</v>
      </c>
      <c r="G572" t="str">
        <f t="shared" si="50"/>
        <v>03</v>
      </c>
      <c r="H572">
        <v>2013</v>
      </c>
      <c r="I572" t="str">
        <f t="shared" si="51"/>
        <v>201303</v>
      </c>
      <c r="J572" t="str">
        <f t="shared" si="53"/>
        <v>https://www.euro-millions.com/results/12-03-2013</v>
      </c>
      <c r="K572" t="str">
        <f t="shared" si="52"/>
        <v>http://lottery.merseyworld.com/Euro/archive/Lott571.html</v>
      </c>
    </row>
    <row r="573" spans="1:11" x14ac:dyDescent="0.25">
      <c r="A573">
        <v>572</v>
      </c>
      <c r="B573" s="2" t="str">
        <f t="shared" si="48"/>
        <v>15-03-2013</v>
      </c>
      <c r="C573" t="s">
        <v>10</v>
      </c>
      <c r="D573">
        <v>15</v>
      </c>
      <c r="E573" t="str">
        <f t="shared" si="49"/>
        <v>15</v>
      </c>
      <c r="F573">
        <v>3</v>
      </c>
      <c r="G573" t="str">
        <f t="shared" si="50"/>
        <v>03</v>
      </c>
      <c r="H573">
        <v>2013</v>
      </c>
      <c r="I573" t="str">
        <f t="shared" si="51"/>
        <v>201303</v>
      </c>
      <c r="J573" t="str">
        <f t="shared" si="53"/>
        <v>https://www.euro-millions.com/results/15-03-2013</v>
      </c>
      <c r="K573" t="str">
        <f t="shared" si="52"/>
        <v>http://lottery.merseyworld.com/Euro/archive/Lott572.html</v>
      </c>
    </row>
    <row r="574" spans="1:11" x14ac:dyDescent="0.25">
      <c r="A574">
        <v>573</v>
      </c>
      <c r="B574" s="2" t="str">
        <f t="shared" si="48"/>
        <v>19-03-2013</v>
      </c>
      <c r="C574" t="s">
        <v>16</v>
      </c>
      <c r="D574">
        <v>19</v>
      </c>
      <c r="E574" t="str">
        <f t="shared" si="49"/>
        <v>19</v>
      </c>
      <c r="F574">
        <v>3</v>
      </c>
      <c r="G574" t="str">
        <f t="shared" si="50"/>
        <v>03</v>
      </c>
      <c r="H574">
        <v>2013</v>
      </c>
      <c r="I574" t="str">
        <f t="shared" si="51"/>
        <v>201303</v>
      </c>
      <c r="J574" t="str">
        <f t="shared" si="53"/>
        <v>https://www.euro-millions.com/results/19-03-2013</v>
      </c>
      <c r="K574" t="str">
        <f t="shared" si="52"/>
        <v>http://lottery.merseyworld.com/Euro/archive/Lott573.html</v>
      </c>
    </row>
    <row r="575" spans="1:11" x14ac:dyDescent="0.25">
      <c r="A575">
        <v>574</v>
      </c>
      <c r="B575" s="2" t="str">
        <f t="shared" si="48"/>
        <v>22-03-2013</v>
      </c>
      <c r="C575" t="s">
        <v>10</v>
      </c>
      <c r="D575">
        <v>22</v>
      </c>
      <c r="E575" t="str">
        <f t="shared" si="49"/>
        <v>22</v>
      </c>
      <c r="F575">
        <v>3</v>
      </c>
      <c r="G575" t="str">
        <f t="shared" si="50"/>
        <v>03</v>
      </c>
      <c r="H575">
        <v>2013</v>
      </c>
      <c r="I575" t="str">
        <f t="shared" si="51"/>
        <v>201303</v>
      </c>
      <c r="J575" t="str">
        <f t="shared" si="53"/>
        <v>https://www.euro-millions.com/results/22-03-2013</v>
      </c>
      <c r="K575" t="str">
        <f t="shared" si="52"/>
        <v>http://lottery.merseyworld.com/Euro/archive/Lott574.html</v>
      </c>
    </row>
    <row r="576" spans="1:11" x14ac:dyDescent="0.25">
      <c r="A576">
        <v>575</v>
      </c>
      <c r="B576" s="2" t="str">
        <f t="shared" si="48"/>
        <v>26-03-2013</v>
      </c>
      <c r="C576" t="s">
        <v>16</v>
      </c>
      <c r="D576">
        <v>26</v>
      </c>
      <c r="E576" t="str">
        <f t="shared" si="49"/>
        <v>26</v>
      </c>
      <c r="F576">
        <v>3</v>
      </c>
      <c r="G576" t="str">
        <f t="shared" si="50"/>
        <v>03</v>
      </c>
      <c r="H576">
        <v>2013</v>
      </c>
      <c r="I576" t="str">
        <f t="shared" si="51"/>
        <v>201303</v>
      </c>
      <c r="J576" t="str">
        <f t="shared" si="53"/>
        <v>https://www.euro-millions.com/results/26-03-2013</v>
      </c>
      <c r="K576" t="str">
        <f t="shared" si="52"/>
        <v>http://lottery.merseyworld.com/Euro/archive/Lott575.html</v>
      </c>
    </row>
    <row r="577" spans="1:11" x14ac:dyDescent="0.25">
      <c r="A577">
        <v>576</v>
      </c>
      <c r="B577" s="2" t="str">
        <f t="shared" si="48"/>
        <v>29-03-2013</v>
      </c>
      <c r="C577" t="s">
        <v>10</v>
      </c>
      <c r="D577">
        <v>29</v>
      </c>
      <c r="E577" t="str">
        <f t="shared" si="49"/>
        <v>29</v>
      </c>
      <c r="F577">
        <v>3</v>
      </c>
      <c r="G577" t="str">
        <f t="shared" si="50"/>
        <v>03</v>
      </c>
      <c r="H577">
        <v>2013</v>
      </c>
      <c r="I577" t="str">
        <f t="shared" si="51"/>
        <v>201303</v>
      </c>
      <c r="J577" t="str">
        <f t="shared" si="53"/>
        <v>https://www.euro-millions.com/results/29-03-2013</v>
      </c>
      <c r="K577" t="str">
        <f t="shared" si="52"/>
        <v>http://lottery.merseyworld.com/Euro/archive/Lott576.html</v>
      </c>
    </row>
    <row r="578" spans="1:11" x14ac:dyDescent="0.25">
      <c r="A578">
        <v>577</v>
      </c>
      <c r="B578" s="2" t="str">
        <f t="shared" si="48"/>
        <v>02-04-2013</v>
      </c>
      <c r="C578" t="s">
        <v>16</v>
      </c>
      <c r="D578">
        <v>2</v>
      </c>
      <c r="E578" t="str">
        <f t="shared" si="49"/>
        <v>02</v>
      </c>
      <c r="F578">
        <v>4</v>
      </c>
      <c r="G578" t="str">
        <f t="shared" si="50"/>
        <v>04</v>
      </c>
      <c r="H578">
        <v>2013</v>
      </c>
      <c r="I578" t="str">
        <f t="shared" si="51"/>
        <v>201304</v>
      </c>
      <c r="J578" t="str">
        <f t="shared" si="53"/>
        <v>https://www.euro-millions.com/results/02-04-2013</v>
      </c>
      <c r="K578" t="str">
        <f t="shared" si="52"/>
        <v>http://lottery.merseyworld.com/Euro/archive/Lott577.html</v>
      </c>
    </row>
    <row r="579" spans="1:11" x14ac:dyDescent="0.25">
      <c r="A579">
        <v>578</v>
      </c>
      <c r="B579" s="2" t="str">
        <f t="shared" ref="B579:B642" si="54">CONCATENATE(E579,"-",G579,"-",H579)</f>
        <v>05-04-2013</v>
      </c>
      <c r="C579" t="s">
        <v>10</v>
      </c>
      <c r="D579">
        <v>5</v>
      </c>
      <c r="E579" t="str">
        <f t="shared" ref="E579:E642" si="55">CONCATENATE(IF(LEN(D579)=1,CONCATENATE("0",D579),D579))</f>
        <v>05</v>
      </c>
      <c r="F579">
        <v>4</v>
      </c>
      <c r="G579" t="str">
        <f t="shared" ref="G579:G642" si="56">CONCATENATE(IF(LEN(F579)=1,CONCATENATE("0",F579),F579))</f>
        <v>04</v>
      </c>
      <c r="H579">
        <v>2013</v>
      </c>
      <c r="I579" t="str">
        <f t="shared" ref="I579:I642" si="57">CONCATENATE(H579,IF(LEN(F579)=1,CONCATENATE("0",F579),F579))</f>
        <v>201304</v>
      </c>
      <c r="J579" t="str">
        <f t="shared" si="53"/>
        <v>https://www.euro-millions.com/results/05-04-2013</v>
      </c>
      <c r="K579" t="str">
        <f t="shared" ref="K579:K642" si="58">CONCATENATE("http://lottery.merseyworld.com/Euro/archive/Lott",RIGHT(CONCATENATE("00",A579),3),".html")</f>
        <v>http://lottery.merseyworld.com/Euro/archive/Lott578.html</v>
      </c>
    </row>
    <row r="580" spans="1:11" x14ac:dyDescent="0.25">
      <c r="A580">
        <v>579</v>
      </c>
      <c r="B580" s="2" t="str">
        <f t="shared" si="54"/>
        <v>09-04-2013</v>
      </c>
      <c r="C580" t="s">
        <v>16</v>
      </c>
      <c r="D580">
        <v>9</v>
      </c>
      <c r="E580" t="str">
        <f t="shared" si="55"/>
        <v>09</v>
      </c>
      <c r="F580">
        <v>4</v>
      </c>
      <c r="G580" t="str">
        <f t="shared" si="56"/>
        <v>04</v>
      </c>
      <c r="H580">
        <v>2013</v>
      </c>
      <c r="I580" t="str">
        <f t="shared" si="57"/>
        <v>201304</v>
      </c>
      <c r="J580" t="str">
        <f t="shared" si="53"/>
        <v>https://www.euro-millions.com/results/09-04-2013</v>
      </c>
      <c r="K580" t="str">
        <f t="shared" si="58"/>
        <v>http://lottery.merseyworld.com/Euro/archive/Lott579.html</v>
      </c>
    </row>
    <row r="581" spans="1:11" x14ac:dyDescent="0.25">
      <c r="A581">
        <v>580</v>
      </c>
      <c r="B581" s="2" t="str">
        <f t="shared" si="54"/>
        <v>12-04-2013</v>
      </c>
      <c r="C581" t="s">
        <v>10</v>
      </c>
      <c r="D581">
        <v>12</v>
      </c>
      <c r="E581" t="str">
        <f t="shared" si="55"/>
        <v>12</v>
      </c>
      <c r="F581">
        <v>4</v>
      </c>
      <c r="G581" t="str">
        <f t="shared" si="56"/>
        <v>04</v>
      </c>
      <c r="H581">
        <v>2013</v>
      </c>
      <c r="I581" t="str">
        <f t="shared" si="57"/>
        <v>201304</v>
      </c>
      <c r="J581" t="str">
        <f t="shared" si="53"/>
        <v>https://www.euro-millions.com/results/12-04-2013</v>
      </c>
      <c r="K581" t="str">
        <f t="shared" si="58"/>
        <v>http://lottery.merseyworld.com/Euro/archive/Lott580.html</v>
      </c>
    </row>
    <row r="582" spans="1:11" x14ac:dyDescent="0.25">
      <c r="A582">
        <v>581</v>
      </c>
      <c r="B582" s="2" t="str">
        <f t="shared" si="54"/>
        <v>16-04-2013</v>
      </c>
      <c r="C582" t="s">
        <v>16</v>
      </c>
      <c r="D582">
        <v>16</v>
      </c>
      <c r="E582" t="str">
        <f t="shared" si="55"/>
        <v>16</v>
      </c>
      <c r="F582">
        <v>4</v>
      </c>
      <c r="G582" t="str">
        <f t="shared" si="56"/>
        <v>04</v>
      </c>
      <c r="H582">
        <v>2013</v>
      </c>
      <c r="I582" t="str">
        <f t="shared" si="57"/>
        <v>201304</v>
      </c>
      <c r="J582" t="str">
        <f t="shared" si="53"/>
        <v>https://www.euro-millions.com/results/16-04-2013</v>
      </c>
      <c r="K582" t="str">
        <f t="shared" si="58"/>
        <v>http://lottery.merseyworld.com/Euro/archive/Lott581.html</v>
      </c>
    </row>
    <row r="583" spans="1:11" x14ac:dyDescent="0.25">
      <c r="A583">
        <v>582</v>
      </c>
      <c r="B583" s="2" t="str">
        <f t="shared" si="54"/>
        <v>19-04-2013</v>
      </c>
      <c r="C583" t="s">
        <v>10</v>
      </c>
      <c r="D583">
        <v>19</v>
      </c>
      <c r="E583" t="str">
        <f t="shared" si="55"/>
        <v>19</v>
      </c>
      <c r="F583">
        <v>4</v>
      </c>
      <c r="G583" t="str">
        <f t="shared" si="56"/>
        <v>04</v>
      </c>
      <c r="H583">
        <v>2013</v>
      </c>
      <c r="I583" t="str">
        <f t="shared" si="57"/>
        <v>201304</v>
      </c>
      <c r="J583" t="str">
        <f t="shared" si="53"/>
        <v>https://www.euro-millions.com/results/19-04-2013</v>
      </c>
      <c r="K583" t="str">
        <f t="shared" si="58"/>
        <v>http://lottery.merseyworld.com/Euro/archive/Lott582.html</v>
      </c>
    </row>
    <row r="584" spans="1:11" x14ac:dyDescent="0.25">
      <c r="A584">
        <v>583</v>
      </c>
      <c r="B584" s="2" t="str">
        <f t="shared" si="54"/>
        <v>23-04-2013</v>
      </c>
      <c r="C584" t="s">
        <v>16</v>
      </c>
      <c r="D584">
        <v>23</v>
      </c>
      <c r="E584" t="str">
        <f t="shared" si="55"/>
        <v>23</v>
      </c>
      <c r="F584">
        <v>4</v>
      </c>
      <c r="G584" t="str">
        <f t="shared" si="56"/>
        <v>04</v>
      </c>
      <c r="H584">
        <v>2013</v>
      </c>
      <c r="I584" t="str">
        <f t="shared" si="57"/>
        <v>201304</v>
      </c>
      <c r="J584" t="str">
        <f t="shared" ref="J584:J647" si="59">CONCATENATE("https://www.euro-millions.com/results/",E584,"-",G584,"-",H584)</f>
        <v>https://www.euro-millions.com/results/23-04-2013</v>
      </c>
      <c r="K584" t="str">
        <f t="shared" si="58"/>
        <v>http://lottery.merseyworld.com/Euro/archive/Lott583.html</v>
      </c>
    </row>
    <row r="585" spans="1:11" x14ac:dyDescent="0.25">
      <c r="A585">
        <v>584</v>
      </c>
      <c r="B585" s="2" t="str">
        <f t="shared" si="54"/>
        <v>26-04-2013</v>
      </c>
      <c r="C585" t="s">
        <v>10</v>
      </c>
      <c r="D585">
        <v>26</v>
      </c>
      <c r="E585" t="str">
        <f t="shared" si="55"/>
        <v>26</v>
      </c>
      <c r="F585">
        <v>4</v>
      </c>
      <c r="G585" t="str">
        <f t="shared" si="56"/>
        <v>04</v>
      </c>
      <c r="H585">
        <v>2013</v>
      </c>
      <c r="I585" t="str">
        <f t="shared" si="57"/>
        <v>201304</v>
      </c>
      <c r="J585" t="str">
        <f t="shared" si="59"/>
        <v>https://www.euro-millions.com/results/26-04-2013</v>
      </c>
      <c r="K585" t="str">
        <f t="shared" si="58"/>
        <v>http://lottery.merseyworld.com/Euro/archive/Lott584.html</v>
      </c>
    </row>
    <row r="586" spans="1:11" x14ac:dyDescent="0.25">
      <c r="A586">
        <v>585</v>
      </c>
      <c r="B586" s="2" t="str">
        <f t="shared" si="54"/>
        <v>30-04-2013</v>
      </c>
      <c r="C586" t="s">
        <v>16</v>
      </c>
      <c r="D586">
        <v>30</v>
      </c>
      <c r="E586" t="str">
        <f t="shared" si="55"/>
        <v>30</v>
      </c>
      <c r="F586">
        <v>4</v>
      </c>
      <c r="G586" t="str">
        <f t="shared" si="56"/>
        <v>04</v>
      </c>
      <c r="H586">
        <v>2013</v>
      </c>
      <c r="I586" t="str">
        <f t="shared" si="57"/>
        <v>201304</v>
      </c>
      <c r="J586" t="str">
        <f t="shared" si="59"/>
        <v>https://www.euro-millions.com/results/30-04-2013</v>
      </c>
      <c r="K586" t="str">
        <f t="shared" si="58"/>
        <v>http://lottery.merseyworld.com/Euro/archive/Lott585.html</v>
      </c>
    </row>
    <row r="587" spans="1:11" x14ac:dyDescent="0.25">
      <c r="A587">
        <v>586</v>
      </c>
      <c r="B587" s="2" t="str">
        <f t="shared" si="54"/>
        <v>03-05-2013</v>
      </c>
      <c r="C587" t="s">
        <v>10</v>
      </c>
      <c r="D587">
        <v>3</v>
      </c>
      <c r="E587" t="str">
        <f t="shared" si="55"/>
        <v>03</v>
      </c>
      <c r="F587">
        <v>5</v>
      </c>
      <c r="G587" t="str">
        <f t="shared" si="56"/>
        <v>05</v>
      </c>
      <c r="H587">
        <v>2013</v>
      </c>
      <c r="I587" t="str">
        <f t="shared" si="57"/>
        <v>201305</v>
      </c>
      <c r="J587" t="str">
        <f t="shared" si="59"/>
        <v>https://www.euro-millions.com/results/03-05-2013</v>
      </c>
      <c r="K587" t="str">
        <f t="shared" si="58"/>
        <v>http://lottery.merseyworld.com/Euro/archive/Lott586.html</v>
      </c>
    </row>
    <row r="588" spans="1:11" x14ac:dyDescent="0.25">
      <c r="A588">
        <v>587</v>
      </c>
      <c r="B588" s="2" t="str">
        <f t="shared" si="54"/>
        <v>07-05-2013</v>
      </c>
      <c r="C588" t="s">
        <v>16</v>
      </c>
      <c r="D588">
        <v>7</v>
      </c>
      <c r="E588" t="str">
        <f t="shared" si="55"/>
        <v>07</v>
      </c>
      <c r="F588">
        <v>5</v>
      </c>
      <c r="G588" t="str">
        <f t="shared" si="56"/>
        <v>05</v>
      </c>
      <c r="H588">
        <v>2013</v>
      </c>
      <c r="I588" t="str">
        <f t="shared" si="57"/>
        <v>201305</v>
      </c>
      <c r="J588" t="str">
        <f t="shared" si="59"/>
        <v>https://www.euro-millions.com/results/07-05-2013</v>
      </c>
      <c r="K588" t="str">
        <f t="shared" si="58"/>
        <v>http://lottery.merseyworld.com/Euro/archive/Lott587.html</v>
      </c>
    </row>
    <row r="589" spans="1:11" x14ac:dyDescent="0.25">
      <c r="A589">
        <v>588</v>
      </c>
      <c r="B589" s="2" t="str">
        <f t="shared" si="54"/>
        <v>10-05-2013</v>
      </c>
      <c r="C589" t="s">
        <v>10</v>
      </c>
      <c r="D589">
        <v>10</v>
      </c>
      <c r="E589" t="str">
        <f t="shared" si="55"/>
        <v>10</v>
      </c>
      <c r="F589">
        <v>5</v>
      </c>
      <c r="G589" t="str">
        <f t="shared" si="56"/>
        <v>05</v>
      </c>
      <c r="H589">
        <v>2013</v>
      </c>
      <c r="I589" t="str">
        <f t="shared" si="57"/>
        <v>201305</v>
      </c>
      <c r="J589" t="str">
        <f t="shared" si="59"/>
        <v>https://www.euro-millions.com/results/10-05-2013</v>
      </c>
      <c r="K589" t="str">
        <f t="shared" si="58"/>
        <v>http://lottery.merseyworld.com/Euro/archive/Lott588.html</v>
      </c>
    </row>
    <row r="590" spans="1:11" x14ac:dyDescent="0.25">
      <c r="A590">
        <v>589</v>
      </c>
      <c r="B590" s="2" t="str">
        <f t="shared" si="54"/>
        <v>14-05-2013</v>
      </c>
      <c r="C590" t="s">
        <v>16</v>
      </c>
      <c r="D590">
        <v>14</v>
      </c>
      <c r="E590" t="str">
        <f t="shared" si="55"/>
        <v>14</v>
      </c>
      <c r="F590">
        <v>5</v>
      </c>
      <c r="G590" t="str">
        <f t="shared" si="56"/>
        <v>05</v>
      </c>
      <c r="H590">
        <v>2013</v>
      </c>
      <c r="I590" t="str">
        <f t="shared" si="57"/>
        <v>201305</v>
      </c>
      <c r="J590" t="str">
        <f t="shared" si="59"/>
        <v>https://www.euro-millions.com/results/14-05-2013</v>
      </c>
      <c r="K590" t="str">
        <f t="shared" si="58"/>
        <v>http://lottery.merseyworld.com/Euro/archive/Lott589.html</v>
      </c>
    </row>
    <row r="591" spans="1:11" x14ac:dyDescent="0.25">
      <c r="A591">
        <v>590</v>
      </c>
      <c r="B591" s="2" t="str">
        <f t="shared" si="54"/>
        <v>17-05-2013</v>
      </c>
      <c r="C591" t="s">
        <v>10</v>
      </c>
      <c r="D591">
        <v>17</v>
      </c>
      <c r="E591" t="str">
        <f t="shared" si="55"/>
        <v>17</v>
      </c>
      <c r="F591">
        <v>5</v>
      </c>
      <c r="G591" t="str">
        <f t="shared" si="56"/>
        <v>05</v>
      </c>
      <c r="H591">
        <v>2013</v>
      </c>
      <c r="I591" t="str">
        <f t="shared" si="57"/>
        <v>201305</v>
      </c>
      <c r="J591" t="str">
        <f t="shared" si="59"/>
        <v>https://www.euro-millions.com/results/17-05-2013</v>
      </c>
      <c r="K591" t="str">
        <f t="shared" si="58"/>
        <v>http://lottery.merseyworld.com/Euro/archive/Lott590.html</v>
      </c>
    </row>
    <row r="592" spans="1:11" x14ac:dyDescent="0.25">
      <c r="A592">
        <v>591</v>
      </c>
      <c r="B592" s="2" t="str">
        <f t="shared" si="54"/>
        <v>21-05-2013</v>
      </c>
      <c r="C592" t="s">
        <v>16</v>
      </c>
      <c r="D592">
        <v>21</v>
      </c>
      <c r="E592" t="str">
        <f t="shared" si="55"/>
        <v>21</v>
      </c>
      <c r="F592">
        <v>5</v>
      </c>
      <c r="G592" t="str">
        <f t="shared" si="56"/>
        <v>05</v>
      </c>
      <c r="H592">
        <v>2013</v>
      </c>
      <c r="I592" t="str">
        <f t="shared" si="57"/>
        <v>201305</v>
      </c>
      <c r="J592" t="str">
        <f t="shared" si="59"/>
        <v>https://www.euro-millions.com/results/21-05-2013</v>
      </c>
      <c r="K592" t="str">
        <f t="shared" si="58"/>
        <v>http://lottery.merseyworld.com/Euro/archive/Lott591.html</v>
      </c>
    </row>
    <row r="593" spans="1:11" x14ac:dyDescent="0.25">
      <c r="A593">
        <v>592</v>
      </c>
      <c r="B593" s="2" t="str">
        <f t="shared" si="54"/>
        <v>24-05-2013</v>
      </c>
      <c r="C593" t="s">
        <v>10</v>
      </c>
      <c r="D593">
        <v>24</v>
      </c>
      <c r="E593" t="str">
        <f t="shared" si="55"/>
        <v>24</v>
      </c>
      <c r="F593">
        <v>5</v>
      </c>
      <c r="G593" t="str">
        <f t="shared" si="56"/>
        <v>05</v>
      </c>
      <c r="H593">
        <v>2013</v>
      </c>
      <c r="I593" t="str">
        <f t="shared" si="57"/>
        <v>201305</v>
      </c>
      <c r="J593" t="str">
        <f t="shared" si="59"/>
        <v>https://www.euro-millions.com/results/24-05-2013</v>
      </c>
      <c r="K593" t="str">
        <f t="shared" si="58"/>
        <v>http://lottery.merseyworld.com/Euro/archive/Lott592.html</v>
      </c>
    </row>
    <row r="594" spans="1:11" x14ac:dyDescent="0.25">
      <c r="A594">
        <v>593</v>
      </c>
      <c r="B594" s="2" t="str">
        <f t="shared" si="54"/>
        <v>28-05-2013</v>
      </c>
      <c r="C594" t="s">
        <v>16</v>
      </c>
      <c r="D594">
        <v>28</v>
      </c>
      <c r="E594" t="str">
        <f t="shared" si="55"/>
        <v>28</v>
      </c>
      <c r="F594">
        <v>5</v>
      </c>
      <c r="G594" t="str">
        <f t="shared" si="56"/>
        <v>05</v>
      </c>
      <c r="H594">
        <v>2013</v>
      </c>
      <c r="I594" t="str">
        <f t="shared" si="57"/>
        <v>201305</v>
      </c>
      <c r="J594" t="str">
        <f t="shared" si="59"/>
        <v>https://www.euro-millions.com/results/28-05-2013</v>
      </c>
      <c r="K594" t="str">
        <f t="shared" si="58"/>
        <v>http://lottery.merseyworld.com/Euro/archive/Lott593.html</v>
      </c>
    </row>
    <row r="595" spans="1:11" x14ac:dyDescent="0.25">
      <c r="A595">
        <v>594</v>
      </c>
      <c r="B595" s="2" t="str">
        <f t="shared" si="54"/>
        <v>31-05-2013</v>
      </c>
      <c r="C595" t="s">
        <v>10</v>
      </c>
      <c r="D595">
        <v>31</v>
      </c>
      <c r="E595" t="str">
        <f t="shared" si="55"/>
        <v>31</v>
      </c>
      <c r="F595">
        <v>5</v>
      </c>
      <c r="G595" t="str">
        <f t="shared" si="56"/>
        <v>05</v>
      </c>
      <c r="H595">
        <v>2013</v>
      </c>
      <c r="I595" t="str">
        <f t="shared" si="57"/>
        <v>201305</v>
      </c>
      <c r="J595" t="str">
        <f t="shared" si="59"/>
        <v>https://www.euro-millions.com/results/31-05-2013</v>
      </c>
      <c r="K595" t="str">
        <f t="shared" si="58"/>
        <v>http://lottery.merseyworld.com/Euro/archive/Lott594.html</v>
      </c>
    </row>
    <row r="596" spans="1:11" x14ac:dyDescent="0.25">
      <c r="A596">
        <v>595</v>
      </c>
      <c r="B596" s="2" t="str">
        <f t="shared" si="54"/>
        <v>04-06-2013</v>
      </c>
      <c r="C596" t="s">
        <v>16</v>
      </c>
      <c r="D596">
        <v>4</v>
      </c>
      <c r="E596" t="str">
        <f t="shared" si="55"/>
        <v>04</v>
      </c>
      <c r="F596">
        <v>6</v>
      </c>
      <c r="G596" t="str">
        <f t="shared" si="56"/>
        <v>06</v>
      </c>
      <c r="H596">
        <v>2013</v>
      </c>
      <c r="I596" t="str">
        <f t="shared" si="57"/>
        <v>201306</v>
      </c>
      <c r="J596" t="str">
        <f t="shared" si="59"/>
        <v>https://www.euro-millions.com/results/04-06-2013</v>
      </c>
      <c r="K596" t="str">
        <f t="shared" si="58"/>
        <v>http://lottery.merseyworld.com/Euro/archive/Lott595.html</v>
      </c>
    </row>
    <row r="597" spans="1:11" x14ac:dyDescent="0.25">
      <c r="A597">
        <v>596</v>
      </c>
      <c r="B597" s="2" t="str">
        <f t="shared" si="54"/>
        <v>07-06-2013</v>
      </c>
      <c r="C597" t="s">
        <v>10</v>
      </c>
      <c r="D597">
        <v>7</v>
      </c>
      <c r="E597" t="str">
        <f t="shared" si="55"/>
        <v>07</v>
      </c>
      <c r="F597">
        <v>6</v>
      </c>
      <c r="G597" t="str">
        <f t="shared" si="56"/>
        <v>06</v>
      </c>
      <c r="H597">
        <v>2013</v>
      </c>
      <c r="I597" t="str">
        <f t="shared" si="57"/>
        <v>201306</v>
      </c>
      <c r="J597" t="str">
        <f t="shared" si="59"/>
        <v>https://www.euro-millions.com/results/07-06-2013</v>
      </c>
      <c r="K597" t="str">
        <f t="shared" si="58"/>
        <v>http://lottery.merseyworld.com/Euro/archive/Lott596.html</v>
      </c>
    </row>
    <row r="598" spans="1:11" x14ac:dyDescent="0.25">
      <c r="A598">
        <v>597</v>
      </c>
      <c r="B598" s="2" t="str">
        <f t="shared" si="54"/>
        <v>11-06-2013</v>
      </c>
      <c r="C598" t="s">
        <v>16</v>
      </c>
      <c r="D598">
        <v>11</v>
      </c>
      <c r="E598" t="str">
        <f t="shared" si="55"/>
        <v>11</v>
      </c>
      <c r="F598">
        <v>6</v>
      </c>
      <c r="G598" t="str">
        <f t="shared" si="56"/>
        <v>06</v>
      </c>
      <c r="H598">
        <v>2013</v>
      </c>
      <c r="I598" t="str">
        <f t="shared" si="57"/>
        <v>201306</v>
      </c>
      <c r="J598" t="str">
        <f t="shared" si="59"/>
        <v>https://www.euro-millions.com/results/11-06-2013</v>
      </c>
      <c r="K598" t="str">
        <f t="shared" si="58"/>
        <v>http://lottery.merseyworld.com/Euro/archive/Lott597.html</v>
      </c>
    </row>
    <row r="599" spans="1:11" x14ac:dyDescent="0.25">
      <c r="A599">
        <v>598</v>
      </c>
      <c r="B599" s="2" t="str">
        <f t="shared" si="54"/>
        <v>14-06-2013</v>
      </c>
      <c r="C599" t="s">
        <v>10</v>
      </c>
      <c r="D599">
        <v>14</v>
      </c>
      <c r="E599" t="str">
        <f t="shared" si="55"/>
        <v>14</v>
      </c>
      <c r="F599">
        <v>6</v>
      </c>
      <c r="G599" t="str">
        <f t="shared" si="56"/>
        <v>06</v>
      </c>
      <c r="H599">
        <v>2013</v>
      </c>
      <c r="I599" t="str">
        <f t="shared" si="57"/>
        <v>201306</v>
      </c>
      <c r="J599" t="str">
        <f t="shared" si="59"/>
        <v>https://www.euro-millions.com/results/14-06-2013</v>
      </c>
      <c r="K599" t="str">
        <f t="shared" si="58"/>
        <v>http://lottery.merseyworld.com/Euro/archive/Lott598.html</v>
      </c>
    </row>
    <row r="600" spans="1:11" x14ac:dyDescent="0.25">
      <c r="A600">
        <v>599</v>
      </c>
      <c r="B600" s="2" t="str">
        <f t="shared" si="54"/>
        <v>18-06-2013</v>
      </c>
      <c r="C600" t="s">
        <v>16</v>
      </c>
      <c r="D600">
        <v>18</v>
      </c>
      <c r="E600" t="str">
        <f t="shared" si="55"/>
        <v>18</v>
      </c>
      <c r="F600">
        <v>6</v>
      </c>
      <c r="G600" t="str">
        <f t="shared" si="56"/>
        <v>06</v>
      </c>
      <c r="H600">
        <v>2013</v>
      </c>
      <c r="I600" t="str">
        <f t="shared" si="57"/>
        <v>201306</v>
      </c>
      <c r="J600" t="str">
        <f t="shared" si="59"/>
        <v>https://www.euro-millions.com/results/18-06-2013</v>
      </c>
      <c r="K600" t="str">
        <f t="shared" si="58"/>
        <v>http://lottery.merseyworld.com/Euro/archive/Lott599.html</v>
      </c>
    </row>
    <row r="601" spans="1:11" x14ac:dyDescent="0.25">
      <c r="A601">
        <v>600</v>
      </c>
      <c r="B601" s="2" t="str">
        <f t="shared" si="54"/>
        <v>21-06-2013</v>
      </c>
      <c r="C601" t="s">
        <v>10</v>
      </c>
      <c r="D601">
        <v>21</v>
      </c>
      <c r="E601" t="str">
        <f t="shared" si="55"/>
        <v>21</v>
      </c>
      <c r="F601">
        <v>6</v>
      </c>
      <c r="G601" t="str">
        <f t="shared" si="56"/>
        <v>06</v>
      </c>
      <c r="H601">
        <v>2013</v>
      </c>
      <c r="I601" t="str">
        <f t="shared" si="57"/>
        <v>201306</v>
      </c>
      <c r="J601" t="str">
        <f t="shared" si="59"/>
        <v>https://www.euro-millions.com/results/21-06-2013</v>
      </c>
      <c r="K601" t="str">
        <f t="shared" si="58"/>
        <v>http://lottery.merseyworld.com/Euro/archive/Lott600.html</v>
      </c>
    </row>
    <row r="602" spans="1:11" x14ac:dyDescent="0.25">
      <c r="A602">
        <v>601</v>
      </c>
      <c r="B602" s="2" t="str">
        <f t="shared" si="54"/>
        <v>25-06-2013</v>
      </c>
      <c r="C602" t="s">
        <v>16</v>
      </c>
      <c r="D602">
        <v>25</v>
      </c>
      <c r="E602" t="str">
        <f t="shared" si="55"/>
        <v>25</v>
      </c>
      <c r="F602">
        <v>6</v>
      </c>
      <c r="G602" t="str">
        <f t="shared" si="56"/>
        <v>06</v>
      </c>
      <c r="H602">
        <v>2013</v>
      </c>
      <c r="I602" t="str">
        <f t="shared" si="57"/>
        <v>201306</v>
      </c>
      <c r="J602" t="str">
        <f t="shared" si="59"/>
        <v>https://www.euro-millions.com/results/25-06-2013</v>
      </c>
      <c r="K602" t="str">
        <f t="shared" si="58"/>
        <v>http://lottery.merseyworld.com/Euro/archive/Lott601.html</v>
      </c>
    </row>
    <row r="603" spans="1:11" x14ac:dyDescent="0.25">
      <c r="A603">
        <v>602</v>
      </c>
      <c r="B603" s="2" t="str">
        <f t="shared" si="54"/>
        <v>28-06-2013</v>
      </c>
      <c r="C603" t="s">
        <v>10</v>
      </c>
      <c r="D603">
        <v>28</v>
      </c>
      <c r="E603" t="str">
        <f t="shared" si="55"/>
        <v>28</v>
      </c>
      <c r="F603">
        <v>6</v>
      </c>
      <c r="G603" t="str">
        <f t="shared" si="56"/>
        <v>06</v>
      </c>
      <c r="H603">
        <v>2013</v>
      </c>
      <c r="I603" t="str">
        <f t="shared" si="57"/>
        <v>201306</v>
      </c>
      <c r="J603" t="str">
        <f t="shared" si="59"/>
        <v>https://www.euro-millions.com/results/28-06-2013</v>
      </c>
      <c r="K603" t="str">
        <f t="shared" si="58"/>
        <v>http://lottery.merseyworld.com/Euro/archive/Lott602.html</v>
      </c>
    </row>
    <row r="604" spans="1:11" x14ac:dyDescent="0.25">
      <c r="A604">
        <v>603</v>
      </c>
      <c r="B604" s="2" t="str">
        <f t="shared" si="54"/>
        <v>02-07-2013</v>
      </c>
      <c r="C604" t="s">
        <v>16</v>
      </c>
      <c r="D604">
        <v>2</v>
      </c>
      <c r="E604" t="str">
        <f t="shared" si="55"/>
        <v>02</v>
      </c>
      <c r="F604">
        <v>7</v>
      </c>
      <c r="G604" t="str">
        <f t="shared" si="56"/>
        <v>07</v>
      </c>
      <c r="H604">
        <v>2013</v>
      </c>
      <c r="I604" t="str">
        <f t="shared" si="57"/>
        <v>201307</v>
      </c>
      <c r="J604" t="str">
        <f t="shared" si="59"/>
        <v>https://www.euro-millions.com/results/02-07-2013</v>
      </c>
      <c r="K604" t="str">
        <f t="shared" si="58"/>
        <v>http://lottery.merseyworld.com/Euro/archive/Lott603.html</v>
      </c>
    </row>
    <row r="605" spans="1:11" x14ac:dyDescent="0.25">
      <c r="A605">
        <v>604</v>
      </c>
      <c r="B605" s="2" t="str">
        <f t="shared" si="54"/>
        <v>05-07-2013</v>
      </c>
      <c r="C605" t="s">
        <v>10</v>
      </c>
      <c r="D605">
        <v>5</v>
      </c>
      <c r="E605" t="str">
        <f t="shared" si="55"/>
        <v>05</v>
      </c>
      <c r="F605">
        <v>7</v>
      </c>
      <c r="G605" t="str">
        <f t="shared" si="56"/>
        <v>07</v>
      </c>
      <c r="H605">
        <v>2013</v>
      </c>
      <c r="I605" t="str">
        <f t="shared" si="57"/>
        <v>201307</v>
      </c>
      <c r="J605" t="str">
        <f t="shared" si="59"/>
        <v>https://www.euro-millions.com/results/05-07-2013</v>
      </c>
      <c r="K605" t="str">
        <f t="shared" si="58"/>
        <v>http://lottery.merseyworld.com/Euro/archive/Lott604.html</v>
      </c>
    </row>
    <row r="606" spans="1:11" x14ac:dyDescent="0.25">
      <c r="A606">
        <v>605</v>
      </c>
      <c r="B606" s="2" t="str">
        <f t="shared" si="54"/>
        <v>09-07-2013</v>
      </c>
      <c r="C606" t="s">
        <v>16</v>
      </c>
      <c r="D606">
        <v>9</v>
      </c>
      <c r="E606" t="str">
        <f t="shared" si="55"/>
        <v>09</v>
      </c>
      <c r="F606">
        <v>7</v>
      </c>
      <c r="G606" t="str">
        <f t="shared" si="56"/>
        <v>07</v>
      </c>
      <c r="H606">
        <v>2013</v>
      </c>
      <c r="I606" t="str">
        <f t="shared" si="57"/>
        <v>201307</v>
      </c>
      <c r="J606" t="str">
        <f t="shared" si="59"/>
        <v>https://www.euro-millions.com/results/09-07-2013</v>
      </c>
      <c r="K606" t="str">
        <f t="shared" si="58"/>
        <v>http://lottery.merseyworld.com/Euro/archive/Lott605.html</v>
      </c>
    </row>
    <row r="607" spans="1:11" x14ac:dyDescent="0.25">
      <c r="A607">
        <v>606</v>
      </c>
      <c r="B607" s="2" t="str">
        <f t="shared" si="54"/>
        <v>12-07-2013</v>
      </c>
      <c r="C607" t="s">
        <v>10</v>
      </c>
      <c r="D607">
        <v>12</v>
      </c>
      <c r="E607" t="str">
        <f t="shared" si="55"/>
        <v>12</v>
      </c>
      <c r="F607">
        <v>7</v>
      </c>
      <c r="G607" t="str">
        <f t="shared" si="56"/>
        <v>07</v>
      </c>
      <c r="H607">
        <v>2013</v>
      </c>
      <c r="I607" t="str">
        <f t="shared" si="57"/>
        <v>201307</v>
      </c>
      <c r="J607" t="str">
        <f t="shared" si="59"/>
        <v>https://www.euro-millions.com/results/12-07-2013</v>
      </c>
      <c r="K607" t="str">
        <f t="shared" si="58"/>
        <v>http://lottery.merseyworld.com/Euro/archive/Lott606.html</v>
      </c>
    </row>
    <row r="608" spans="1:11" x14ac:dyDescent="0.25">
      <c r="A608">
        <v>607</v>
      </c>
      <c r="B608" s="2" t="str">
        <f t="shared" si="54"/>
        <v>16-07-2013</v>
      </c>
      <c r="C608" t="s">
        <v>16</v>
      </c>
      <c r="D608">
        <v>16</v>
      </c>
      <c r="E608" t="str">
        <f t="shared" si="55"/>
        <v>16</v>
      </c>
      <c r="F608">
        <v>7</v>
      </c>
      <c r="G608" t="str">
        <f t="shared" si="56"/>
        <v>07</v>
      </c>
      <c r="H608">
        <v>2013</v>
      </c>
      <c r="I608" t="str">
        <f t="shared" si="57"/>
        <v>201307</v>
      </c>
      <c r="J608" t="str">
        <f t="shared" si="59"/>
        <v>https://www.euro-millions.com/results/16-07-2013</v>
      </c>
      <c r="K608" t="str">
        <f t="shared" si="58"/>
        <v>http://lottery.merseyworld.com/Euro/archive/Lott607.html</v>
      </c>
    </row>
    <row r="609" spans="1:11" x14ac:dyDescent="0.25">
      <c r="A609">
        <v>608</v>
      </c>
      <c r="B609" s="2" t="str">
        <f t="shared" si="54"/>
        <v>19-07-2013</v>
      </c>
      <c r="C609" t="s">
        <v>10</v>
      </c>
      <c r="D609">
        <v>19</v>
      </c>
      <c r="E609" t="str">
        <f t="shared" si="55"/>
        <v>19</v>
      </c>
      <c r="F609">
        <v>7</v>
      </c>
      <c r="G609" t="str">
        <f t="shared" si="56"/>
        <v>07</v>
      </c>
      <c r="H609">
        <v>2013</v>
      </c>
      <c r="I609" t="str">
        <f t="shared" si="57"/>
        <v>201307</v>
      </c>
      <c r="J609" t="str">
        <f t="shared" si="59"/>
        <v>https://www.euro-millions.com/results/19-07-2013</v>
      </c>
      <c r="K609" t="str">
        <f t="shared" si="58"/>
        <v>http://lottery.merseyworld.com/Euro/archive/Lott608.html</v>
      </c>
    </row>
    <row r="610" spans="1:11" x14ac:dyDescent="0.25">
      <c r="A610">
        <v>609</v>
      </c>
      <c r="B610" s="2" t="str">
        <f t="shared" si="54"/>
        <v>23-07-2013</v>
      </c>
      <c r="C610" t="s">
        <v>16</v>
      </c>
      <c r="D610">
        <v>23</v>
      </c>
      <c r="E610" t="str">
        <f t="shared" si="55"/>
        <v>23</v>
      </c>
      <c r="F610">
        <v>7</v>
      </c>
      <c r="G610" t="str">
        <f t="shared" si="56"/>
        <v>07</v>
      </c>
      <c r="H610">
        <v>2013</v>
      </c>
      <c r="I610" t="str">
        <f t="shared" si="57"/>
        <v>201307</v>
      </c>
      <c r="J610" t="str">
        <f t="shared" si="59"/>
        <v>https://www.euro-millions.com/results/23-07-2013</v>
      </c>
      <c r="K610" t="str">
        <f t="shared" si="58"/>
        <v>http://lottery.merseyworld.com/Euro/archive/Lott609.html</v>
      </c>
    </row>
    <row r="611" spans="1:11" x14ac:dyDescent="0.25">
      <c r="A611">
        <v>610</v>
      </c>
      <c r="B611" s="2" t="str">
        <f t="shared" si="54"/>
        <v>26-07-2013</v>
      </c>
      <c r="C611" t="s">
        <v>10</v>
      </c>
      <c r="D611">
        <v>26</v>
      </c>
      <c r="E611" t="str">
        <f t="shared" si="55"/>
        <v>26</v>
      </c>
      <c r="F611">
        <v>7</v>
      </c>
      <c r="G611" t="str">
        <f t="shared" si="56"/>
        <v>07</v>
      </c>
      <c r="H611">
        <v>2013</v>
      </c>
      <c r="I611" t="str">
        <f t="shared" si="57"/>
        <v>201307</v>
      </c>
      <c r="J611" t="str">
        <f t="shared" si="59"/>
        <v>https://www.euro-millions.com/results/26-07-2013</v>
      </c>
      <c r="K611" t="str">
        <f t="shared" si="58"/>
        <v>http://lottery.merseyworld.com/Euro/archive/Lott610.html</v>
      </c>
    </row>
    <row r="612" spans="1:11" x14ac:dyDescent="0.25">
      <c r="A612">
        <v>611</v>
      </c>
      <c r="B612" s="2" t="str">
        <f t="shared" si="54"/>
        <v>30-07-2013</v>
      </c>
      <c r="C612" t="s">
        <v>16</v>
      </c>
      <c r="D612">
        <v>30</v>
      </c>
      <c r="E612" t="str">
        <f t="shared" si="55"/>
        <v>30</v>
      </c>
      <c r="F612">
        <v>7</v>
      </c>
      <c r="G612" t="str">
        <f t="shared" si="56"/>
        <v>07</v>
      </c>
      <c r="H612">
        <v>2013</v>
      </c>
      <c r="I612" t="str">
        <f t="shared" si="57"/>
        <v>201307</v>
      </c>
      <c r="J612" t="str">
        <f t="shared" si="59"/>
        <v>https://www.euro-millions.com/results/30-07-2013</v>
      </c>
      <c r="K612" t="str">
        <f t="shared" si="58"/>
        <v>http://lottery.merseyworld.com/Euro/archive/Lott611.html</v>
      </c>
    </row>
    <row r="613" spans="1:11" x14ac:dyDescent="0.25">
      <c r="A613">
        <v>612</v>
      </c>
      <c r="B613" s="2" t="str">
        <f t="shared" si="54"/>
        <v>02-08-2013</v>
      </c>
      <c r="C613" t="s">
        <v>10</v>
      </c>
      <c r="D613">
        <v>2</v>
      </c>
      <c r="E613" t="str">
        <f t="shared" si="55"/>
        <v>02</v>
      </c>
      <c r="F613">
        <v>8</v>
      </c>
      <c r="G613" t="str">
        <f t="shared" si="56"/>
        <v>08</v>
      </c>
      <c r="H613">
        <v>2013</v>
      </c>
      <c r="I613" t="str">
        <f t="shared" si="57"/>
        <v>201308</v>
      </c>
      <c r="J613" t="str">
        <f t="shared" si="59"/>
        <v>https://www.euro-millions.com/results/02-08-2013</v>
      </c>
      <c r="K613" t="str">
        <f t="shared" si="58"/>
        <v>http://lottery.merseyworld.com/Euro/archive/Lott612.html</v>
      </c>
    </row>
    <row r="614" spans="1:11" x14ac:dyDescent="0.25">
      <c r="A614">
        <v>613</v>
      </c>
      <c r="B614" s="2" t="str">
        <f t="shared" si="54"/>
        <v>06-08-2013</v>
      </c>
      <c r="C614" t="s">
        <v>16</v>
      </c>
      <c r="D614">
        <v>6</v>
      </c>
      <c r="E614" t="str">
        <f t="shared" si="55"/>
        <v>06</v>
      </c>
      <c r="F614">
        <v>8</v>
      </c>
      <c r="G614" t="str">
        <f t="shared" si="56"/>
        <v>08</v>
      </c>
      <c r="H614">
        <v>2013</v>
      </c>
      <c r="I614" t="str">
        <f t="shared" si="57"/>
        <v>201308</v>
      </c>
      <c r="J614" t="str">
        <f t="shared" si="59"/>
        <v>https://www.euro-millions.com/results/06-08-2013</v>
      </c>
      <c r="K614" t="str">
        <f t="shared" si="58"/>
        <v>http://lottery.merseyworld.com/Euro/archive/Lott613.html</v>
      </c>
    </row>
    <row r="615" spans="1:11" x14ac:dyDescent="0.25">
      <c r="A615">
        <v>614</v>
      </c>
      <c r="B615" s="2" t="str">
        <f t="shared" si="54"/>
        <v>09-08-2013</v>
      </c>
      <c r="C615" t="s">
        <v>10</v>
      </c>
      <c r="D615">
        <v>9</v>
      </c>
      <c r="E615" t="str">
        <f t="shared" si="55"/>
        <v>09</v>
      </c>
      <c r="F615">
        <v>8</v>
      </c>
      <c r="G615" t="str">
        <f t="shared" si="56"/>
        <v>08</v>
      </c>
      <c r="H615">
        <v>2013</v>
      </c>
      <c r="I615" t="str">
        <f t="shared" si="57"/>
        <v>201308</v>
      </c>
      <c r="J615" t="str">
        <f t="shared" si="59"/>
        <v>https://www.euro-millions.com/results/09-08-2013</v>
      </c>
      <c r="K615" t="str">
        <f t="shared" si="58"/>
        <v>http://lottery.merseyworld.com/Euro/archive/Lott614.html</v>
      </c>
    </row>
    <row r="616" spans="1:11" x14ac:dyDescent="0.25">
      <c r="A616">
        <v>615</v>
      </c>
      <c r="B616" s="2" t="str">
        <f t="shared" si="54"/>
        <v>13-08-2013</v>
      </c>
      <c r="C616" t="s">
        <v>16</v>
      </c>
      <c r="D616">
        <v>13</v>
      </c>
      <c r="E616" t="str">
        <f t="shared" si="55"/>
        <v>13</v>
      </c>
      <c r="F616">
        <v>8</v>
      </c>
      <c r="G616" t="str">
        <f t="shared" si="56"/>
        <v>08</v>
      </c>
      <c r="H616">
        <v>2013</v>
      </c>
      <c r="I616" t="str">
        <f t="shared" si="57"/>
        <v>201308</v>
      </c>
      <c r="J616" t="str">
        <f t="shared" si="59"/>
        <v>https://www.euro-millions.com/results/13-08-2013</v>
      </c>
      <c r="K616" t="str">
        <f t="shared" si="58"/>
        <v>http://lottery.merseyworld.com/Euro/archive/Lott615.html</v>
      </c>
    </row>
    <row r="617" spans="1:11" x14ac:dyDescent="0.25">
      <c r="A617">
        <v>616</v>
      </c>
      <c r="B617" s="2" t="str">
        <f t="shared" si="54"/>
        <v>16-08-2013</v>
      </c>
      <c r="C617" t="s">
        <v>10</v>
      </c>
      <c r="D617">
        <v>16</v>
      </c>
      <c r="E617" t="str">
        <f t="shared" si="55"/>
        <v>16</v>
      </c>
      <c r="F617">
        <v>8</v>
      </c>
      <c r="G617" t="str">
        <f t="shared" si="56"/>
        <v>08</v>
      </c>
      <c r="H617">
        <v>2013</v>
      </c>
      <c r="I617" t="str">
        <f t="shared" si="57"/>
        <v>201308</v>
      </c>
      <c r="J617" t="str">
        <f t="shared" si="59"/>
        <v>https://www.euro-millions.com/results/16-08-2013</v>
      </c>
      <c r="K617" t="str">
        <f t="shared" si="58"/>
        <v>http://lottery.merseyworld.com/Euro/archive/Lott616.html</v>
      </c>
    </row>
    <row r="618" spans="1:11" x14ac:dyDescent="0.25">
      <c r="A618">
        <v>617</v>
      </c>
      <c r="B618" s="2" t="str">
        <f t="shared" si="54"/>
        <v>20-08-2013</v>
      </c>
      <c r="C618" t="s">
        <v>16</v>
      </c>
      <c r="D618">
        <v>20</v>
      </c>
      <c r="E618" t="str">
        <f t="shared" si="55"/>
        <v>20</v>
      </c>
      <c r="F618">
        <v>8</v>
      </c>
      <c r="G618" t="str">
        <f t="shared" si="56"/>
        <v>08</v>
      </c>
      <c r="H618">
        <v>2013</v>
      </c>
      <c r="I618" t="str">
        <f t="shared" si="57"/>
        <v>201308</v>
      </c>
      <c r="J618" t="str">
        <f t="shared" si="59"/>
        <v>https://www.euro-millions.com/results/20-08-2013</v>
      </c>
      <c r="K618" t="str">
        <f t="shared" si="58"/>
        <v>http://lottery.merseyworld.com/Euro/archive/Lott617.html</v>
      </c>
    </row>
    <row r="619" spans="1:11" x14ac:dyDescent="0.25">
      <c r="A619">
        <v>618</v>
      </c>
      <c r="B619" s="2" t="str">
        <f t="shared" si="54"/>
        <v>23-08-2013</v>
      </c>
      <c r="C619" t="s">
        <v>10</v>
      </c>
      <c r="D619">
        <v>23</v>
      </c>
      <c r="E619" t="str">
        <f t="shared" si="55"/>
        <v>23</v>
      </c>
      <c r="F619">
        <v>8</v>
      </c>
      <c r="G619" t="str">
        <f t="shared" si="56"/>
        <v>08</v>
      </c>
      <c r="H619">
        <v>2013</v>
      </c>
      <c r="I619" t="str">
        <f t="shared" si="57"/>
        <v>201308</v>
      </c>
      <c r="J619" t="str">
        <f t="shared" si="59"/>
        <v>https://www.euro-millions.com/results/23-08-2013</v>
      </c>
      <c r="K619" t="str">
        <f t="shared" si="58"/>
        <v>http://lottery.merseyworld.com/Euro/archive/Lott618.html</v>
      </c>
    </row>
    <row r="620" spans="1:11" x14ac:dyDescent="0.25">
      <c r="A620">
        <v>619</v>
      </c>
      <c r="B620" s="2" t="str">
        <f t="shared" si="54"/>
        <v>27-08-2013</v>
      </c>
      <c r="C620" t="s">
        <v>16</v>
      </c>
      <c r="D620">
        <v>27</v>
      </c>
      <c r="E620" t="str">
        <f t="shared" si="55"/>
        <v>27</v>
      </c>
      <c r="F620">
        <v>8</v>
      </c>
      <c r="G620" t="str">
        <f t="shared" si="56"/>
        <v>08</v>
      </c>
      <c r="H620">
        <v>2013</v>
      </c>
      <c r="I620" t="str">
        <f t="shared" si="57"/>
        <v>201308</v>
      </c>
      <c r="J620" t="str">
        <f t="shared" si="59"/>
        <v>https://www.euro-millions.com/results/27-08-2013</v>
      </c>
      <c r="K620" t="str">
        <f t="shared" si="58"/>
        <v>http://lottery.merseyworld.com/Euro/archive/Lott619.html</v>
      </c>
    </row>
    <row r="621" spans="1:11" x14ac:dyDescent="0.25">
      <c r="A621">
        <v>620</v>
      </c>
      <c r="B621" s="2" t="str">
        <f t="shared" si="54"/>
        <v>30-08-2013</v>
      </c>
      <c r="C621" t="s">
        <v>10</v>
      </c>
      <c r="D621">
        <v>30</v>
      </c>
      <c r="E621" t="str">
        <f t="shared" si="55"/>
        <v>30</v>
      </c>
      <c r="F621">
        <v>8</v>
      </c>
      <c r="G621" t="str">
        <f t="shared" si="56"/>
        <v>08</v>
      </c>
      <c r="H621">
        <v>2013</v>
      </c>
      <c r="I621" t="str">
        <f t="shared" si="57"/>
        <v>201308</v>
      </c>
      <c r="J621" t="str">
        <f t="shared" si="59"/>
        <v>https://www.euro-millions.com/results/30-08-2013</v>
      </c>
      <c r="K621" t="str">
        <f t="shared" si="58"/>
        <v>http://lottery.merseyworld.com/Euro/archive/Lott620.html</v>
      </c>
    </row>
    <row r="622" spans="1:11" x14ac:dyDescent="0.25">
      <c r="A622">
        <v>621</v>
      </c>
      <c r="B622" s="2" t="str">
        <f t="shared" si="54"/>
        <v>03-09-2013</v>
      </c>
      <c r="C622" t="s">
        <v>16</v>
      </c>
      <c r="D622">
        <v>3</v>
      </c>
      <c r="E622" t="str">
        <f t="shared" si="55"/>
        <v>03</v>
      </c>
      <c r="F622">
        <v>9</v>
      </c>
      <c r="G622" t="str">
        <f t="shared" si="56"/>
        <v>09</v>
      </c>
      <c r="H622">
        <v>2013</v>
      </c>
      <c r="I622" t="str">
        <f t="shared" si="57"/>
        <v>201309</v>
      </c>
      <c r="J622" t="str">
        <f t="shared" si="59"/>
        <v>https://www.euro-millions.com/results/03-09-2013</v>
      </c>
      <c r="K622" t="str">
        <f t="shared" si="58"/>
        <v>http://lottery.merseyworld.com/Euro/archive/Lott621.html</v>
      </c>
    </row>
    <row r="623" spans="1:11" x14ac:dyDescent="0.25">
      <c r="A623">
        <v>622</v>
      </c>
      <c r="B623" s="2" t="str">
        <f t="shared" si="54"/>
        <v>06-09-2013</v>
      </c>
      <c r="C623" t="s">
        <v>10</v>
      </c>
      <c r="D623">
        <v>6</v>
      </c>
      <c r="E623" t="str">
        <f t="shared" si="55"/>
        <v>06</v>
      </c>
      <c r="F623">
        <v>9</v>
      </c>
      <c r="G623" t="str">
        <f t="shared" si="56"/>
        <v>09</v>
      </c>
      <c r="H623">
        <v>2013</v>
      </c>
      <c r="I623" t="str">
        <f t="shared" si="57"/>
        <v>201309</v>
      </c>
      <c r="J623" t="str">
        <f t="shared" si="59"/>
        <v>https://www.euro-millions.com/results/06-09-2013</v>
      </c>
      <c r="K623" t="str">
        <f t="shared" si="58"/>
        <v>http://lottery.merseyworld.com/Euro/archive/Lott622.html</v>
      </c>
    </row>
    <row r="624" spans="1:11" x14ac:dyDescent="0.25">
      <c r="A624">
        <v>623</v>
      </c>
      <c r="B624" s="2" t="str">
        <f t="shared" si="54"/>
        <v>10-09-2013</v>
      </c>
      <c r="C624" t="s">
        <v>16</v>
      </c>
      <c r="D624">
        <v>10</v>
      </c>
      <c r="E624" t="str">
        <f t="shared" si="55"/>
        <v>10</v>
      </c>
      <c r="F624">
        <v>9</v>
      </c>
      <c r="G624" t="str">
        <f t="shared" si="56"/>
        <v>09</v>
      </c>
      <c r="H624">
        <v>2013</v>
      </c>
      <c r="I624" t="str">
        <f t="shared" si="57"/>
        <v>201309</v>
      </c>
      <c r="J624" t="str">
        <f t="shared" si="59"/>
        <v>https://www.euro-millions.com/results/10-09-2013</v>
      </c>
      <c r="K624" t="str">
        <f t="shared" si="58"/>
        <v>http://lottery.merseyworld.com/Euro/archive/Lott623.html</v>
      </c>
    </row>
    <row r="625" spans="1:11" x14ac:dyDescent="0.25">
      <c r="A625">
        <v>624</v>
      </c>
      <c r="B625" s="2" t="str">
        <f t="shared" si="54"/>
        <v>13-09-2013</v>
      </c>
      <c r="C625" t="s">
        <v>10</v>
      </c>
      <c r="D625">
        <v>13</v>
      </c>
      <c r="E625" t="str">
        <f t="shared" si="55"/>
        <v>13</v>
      </c>
      <c r="F625">
        <v>9</v>
      </c>
      <c r="G625" t="str">
        <f t="shared" si="56"/>
        <v>09</v>
      </c>
      <c r="H625">
        <v>2013</v>
      </c>
      <c r="I625" t="str">
        <f t="shared" si="57"/>
        <v>201309</v>
      </c>
      <c r="J625" t="str">
        <f t="shared" si="59"/>
        <v>https://www.euro-millions.com/results/13-09-2013</v>
      </c>
      <c r="K625" t="str">
        <f t="shared" si="58"/>
        <v>http://lottery.merseyworld.com/Euro/archive/Lott624.html</v>
      </c>
    </row>
    <row r="626" spans="1:11" x14ac:dyDescent="0.25">
      <c r="A626">
        <v>625</v>
      </c>
      <c r="B626" s="2" t="str">
        <f t="shared" si="54"/>
        <v>17-09-2013</v>
      </c>
      <c r="C626" t="s">
        <v>16</v>
      </c>
      <c r="D626">
        <v>17</v>
      </c>
      <c r="E626" t="str">
        <f t="shared" si="55"/>
        <v>17</v>
      </c>
      <c r="F626">
        <v>9</v>
      </c>
      <c r="G626" t="str">
        <f t="shared" si="56"/>
        <v>09</v>
      </c>
      <c r="H626">
        <v>2013</v>
      </c>
      <c r="I626" t="str">
        <f t="shared" si="57"/>
        <v>201309</v>
      </c>
      <c r="J626" t="str">
        <f t="shared" si="59"/>
        <v>https://www.euro-millions.com/results/17-09-2013</v>
      </c>
      <c r="K626" t="str">
        <f t="shared" si="58"/>
        <v>http://lottery.merseyworld.com/Euro/archive/Lott625.html</v>
      </c>
    </row>
    <row r="627" spans="1:11" x14ac:dyDescent="0.25">
      <c r="A627">
        <v>626</v>
      </c>
      <c r="B627" s="2" t="str">
        <f t="shared" si="54"/>
        <v>20-09-2013</v>
      </c>
      <c r="C627" t="s">
        <v>10</v>
      </c>
      <c r="D627">
        <v>20</v>
      </c>
      <c r="E627" t="str">
        <f t="shared" si="55"/>
        <v>20</v>
      </c>
      <c r="F627">
        <v>9</v>
      </c>
      <c r="G627" t="str">
        <f t="shared" si="56"/>
        <v>09</v>
      </c>
      <c r="H627">
        <v>2013</v>
      </c>
      <c r="I627" t="str">
        <f t="shared" si="57"/>
        <v>201309</v>
      </c>
      <c r="J627" t="str">
        <f t="shared" si="59"/>
        <v>https://www.euro-millions.com/results/20-09-2013</v>
      </c>
      <c r="K627" t="str">
        <f t="shared" si="58"/>
        <v>http://lottery.merseyworld.com/Euro/archive/Lott626.html</v>
      </c>
    </row>
    <row r="628" spans="1:11" x14ac:dyDescent="0.25">
      <c r="A628">
        <v>627</v>
      </c>
      <c r="B628" s="2" t="str">
        <f t="shared" si="54"/>
        <v>24-09-2013</v>
      </c>
      <c r="C628" t="s">
        <v>16</v>
      </c>
      <c r="D628">
        <v>24</v>
      </c>
      <c r="E628" t="str">
        <f t="shared" si="55"/>
        <v>24</v>
      </c>
      <c r="F628">
        <v>9</v>
      </c>
      <c r="G628" t="str">
        <f t="shared" si="56"/>
        <v>09</v>
      </c>
      <c r="H628">
        <v>2013</v>
      </c>
      <c r="I628" t="str">
        <f t="shared" si="57"/>
        <v>201309</v>
      </c>
      <c r="J628" t="str">
        <f t="shared" si="59"/>
        <v>https://www.euro-millions.com/results/24-09-2013</v>
      </c>
      <c r="K628" t="str">
        <f t="shared" si="58"/>
        <v>http://lottery.merseyworld.com/Euro/archive/Lott627.html</v>
      </c>
    </row>
    <row r="629" spans="1:11" x14ac:dyDescent="0.25">
      <c r="A629">
        <v>628</v>
      </c>
      <c r="B629" s="2" t="str">
        <f t="shared" si="54"/>
        <v>27-09-2013</v>
      </c>
      <c r="C629" t="s">
        <v>10</v>
      </c>
      <c r="D629">
        <v>27</v>
      </c>
      <c r="E629" t="str">
        <f t="shared" si="55"/>
        <v>27</v>
      </c>
      <c r="F629">
        <v>9</v>
      </c>
      <c r="G629" t="str">
        <f t="shared" si="56"/>
        <v>09</v>
      </c>
      <c r="H629">
        <v>2013</v>
      </c>
      <c r="I629" t="str">
        <f t="shared" si="57"/>
        <v>201309</v>
      </c>
      <c r="J629" t="str">
        <f t="shared" si="59"/>
        <v>https://www.euro-millions.com/results/27-09-2013</v>
      </c>
      <c r="K629" t="str">
        <f t="shared" si="58"/>
        <v>http://lottery.merseyworld.com/Euro/archive/Lott628.html</v>
      </c>
    </row>
    <row r="630" spans="1:11" x14ac:dyDescent="0.25">
      <c r="A630">
        <v>629</v>
      </c>
      <c r="B630" s="2" t="str">
        <f t="shared" si="54"/>
        <v>01-10-2013</v>
      </c>
      <c r="C630" t="s">
        <v>16</v>
      </c>
      <c r="D630">
        <v>1</v>
      </c>
      <c r="E630" t="str">
        <f t="shared" si="55"/>
        <v>01</v>
      </c>
      <c r="F630">
        <v>10</v>
      </c>
      <c r="G630" t="str">
        <f t="shared" si="56"/>
        <v>10</v>
      </c>
      <c r="H630">
        <v>2013</v>
      </c>
      <c r="I630" t="str">
        <f t="shared" si="57"/>
        <v>201310</v>
      </c>
      <c r="J630" t="str">
        <f t="shared" si="59"/>
        <v>https://www.euro-millions.com/results/01-10-2013</v>
      </c>
      <c r="K630" t="str">
        <f t="shared" si="58"/>
        <v>http://lottery.merseyworld.com/Euro/archive/Lott629.html</v>
      </c>
    </row>
    <row r="631" spans="1:11" x14ac:dyDescent="0.25">
      <c r="A631">
        <v>630</v>
      </c>
      <c r="B631" s="2" t="str">
        <f t="shared" si="54"/>
        <v>04-10-2013</v>
      </c>
      <c r="C631" t="s">
        <v>10</v>
      </c>
      <c r="D631">
        <v>4</v>
      </c>
      <c r="E631" t="str">
        <f t="shared" si="55"/>
        <v>04</v>
      </c>
      <c r="F631">
        <v>10</v>
      </c>
      <c r="G631" t="str">
        <f t="shared" si="56"/>
        <v>10</v>
      </c>
      <c r="H631">
        <v>2013</v>
      </c>
      <c r="I631" t="str">
        <f t="shared" si="57"/>
        <v>201310</v>
      </c>
      <c r="J631" t="str">
        <f t="shared" si="59"/>
        <v>https://www.euro-millions.com/results/04-10-2013</v>
      </c>
      <c r="K631" t="str">
        <f t="shared" si="58"/>
        <v>http://lottery.merseyworld.com/Euro/archive/Lott630.html</v>
      </c>
    </row>
    <row r="632" spans="1:11" x14ac:dyDescent="0.25">
      <c r="A632">
        <v>631</v>
      </c>
      <c r="B632" s="2" t="str">
        <f t="shared" si="54"/>
        <v>08-10-2013</v>
      </c>
      <c r="C632" t="s">
        <v>16</v>
      </c>
      <c r="D632">
        <v>8</v>
      </c>
      <c r="E632" t="str">
        <f t="shared" si="55"/>
        <v>08</v>
      </c>
      <c r="F632">
        <v>10</v>
      </c>
      <c r="G632" t="str">
        <f t="shared" si="56"/>
        <v>10</v>
      </c>
      <c r="H632">
        <v>2013</v>
      </c>
      <c r="I632" t="str">
        <f t="shared" si="57"/>
        <v>201310</v>
      </c>
      <c r="J632" t="str">
        <f t="shared" si="59"/>
        <v>https://www.euro-millions.com/results/08-10-2013</v>
      </c>
      <c r="K632" t="str">
        <f t="shared" si="58"/>
        <v>http://lottery.merseyworld.com/Euro/archive/Lott631.html</v>
      </c>
    </row>
    <row r="633" spans="1:11" x14ac:dyDescent="0.25">
      <c r="A633">
        <v>632</v>
      </c>
      <c r="B633" s="2" t="str">
        <f t="shared" si="54"/>
        <v>11-10-2013</v>
      </c>
      <c r="C633" t="s">
        <v>10</v>
      </c>
      <c r="D633">
        <v>11</v>
      </c>
      <c r="E633" t="str">
        <f t="shared" si="55"/>
        <v>11</v>
      </c>
      <c r="F633">
        <v>10</v>
      </c>
      <c r="G633" t="str">
        <f t="shared" si="56"/>
        <v>10</v>
      </c>
      <c r="H633">
        <v>2013</v>
      </c>
      <c r="I633" t="str">
        <f t="shared" si="57"/>
        <v>201310</v>
      </c>
      <c r="J633" t="str">
        <f t="shared" si="59"/>
        <v>https://www.euro-millions.com/results/11-10-2013</v>
      </c>
      <c r="K633" t="str">
        <f t="shared" si="58"/>
        <v>http://lottery.merseyworld.com/Euro/archive/Lott632.html</v>
      </c>
    </row>
    <row r="634" spans="1:11" x14ac:dyDescent="0.25">
      <c r="A634">
        <v>633</v>
      </c>
      <c r="B634" s="2" t="str">
        <f t="shared" si="54"/>
        <v>15-10-2013</v>
      </c>
      <c r="C634" t="s">
        <v>16</v>
      </c>
      <c r="D634">
        <v>15</v>
      </c>
      <c r="E634" t="str">
        <f t="shared" si="55"/>
        <v>15</v>
      </c>
      <c r="F634">
        <v>10</v>
      </c>
      <c r="G634" t="str">
        <f t="shared" si="56"/>
        <v>10</v>
      </c>
      <c r="H634">
        <v>2013</v>
      </c>
      <c r="I634" t="str">
        <f t="shared" si="57"/>
        <v>201310</v>
      </c>
      <c r="J634" t="str">
        <f t="shared" si="59"/>
        <v>https://www.euro-millions.com/results/15-10-2013</v>
      </c>
      <c r="K634" t="str">
        <f t="shared" si="58"/>
        <v>http://lottery.merseyworld.com/Euro/archive/Lott633.html</v>
      </c>
    </row>
    <row r="635" spans="1:11" x14ac:dyDescent="0.25">
      <c r="A635">
        <v>634</v>
      </c>
      <c r="B635" s="2" t="str">
        <f t="shared" si="54"/>
        <v>18-10-2013</v>
      </c>
      <c r="C635" t="s">
        <v>10</v>
      </c>
      <c r="D635">
        <v>18</v>
      </c>
      <c r="E635" t="str">
        <f t="shared" si="55"/>
        <v>18</v>
      </c>
      <c r="F635">
        <v>10</v>
      </c>
      <c r="G635" t="str">
        <f t="shared" si="56"/>
        <v>10</v>
      </c>
      <c r="H635">
        <v>2013</v>
      </c>
      <c r="I635" t="str">
        <f t="shared" si="57"/>
        <v>201310</v>
      </c>
      <c r="J635" t="str">
        <f t="shared" si="59"/>
        <v>https://www.euro-millions.com/results/18-10-2013</v>
      </c>
      <c r="K635" t="str">
        <f t="shared" si="58"/>
        <v>http://lottery.merseyworld.com/Euro/archive/Lott634.html</v>
      </c>
    </row>
    <row r="636" spans="1:11" x14ac:dyDescent="0.25">
      <c r="A636">
        <v>635</v>
      </c>
      <c r="B636" s="2" t="str">
        <f t="shared" si="54"/>
        <v>22-10-2013</v>
      </c>
      <c r="C636" t="s">
        <v>16</v>
      </c>
      <c r="D636">
        <v>22</v>
      </c>
      <c r="E636" t="str">
        <f t="shared" si="55"/>
        <v>22</v>
      </c>
      <c r="F636">
        <v>10</v>
      </c>
      <c r="G636" t="str">
        <f t="shared" si="56"/>
        <v>10</v>
      </c>
      <c r="H636">
        <v>2013</v>
      </c>
      <c r="I636" t="str">
        <f t="shared" si="57"/>
        <v>201310</v>
      </c>
      <c r="J636" t="str">
        <f t="shared" si="59"/>
        <v>https://www.euro-millions.com/results/22-10-2013</v>
      </c>
      <c r="K636" t="str">
        <f t="shared" si="58"/>
        <v>http://lottery.merseyworld.com/Euro/archive/Lott635.html</v>
      </c>
    </row>
    <row r="637" spans="1:11" x14ac:dyDescent="0.25">
      <c r="A637">
        <v>636</v>
      </c>
      <c r="B637" s="2" t="str">
        <f t="shared" si="54"/>
        <v>25-10-2013</v>
      </c>
      <c r="C637" t="s">
        <v>10</v>
      </c>
      <c r="D637">
        <v>25</v>
      </c>
      <c r="E637" t="str">
        <f t="shared" si="55"/>
        <v>25</v>
      </c>
      <c r="F637">
        <v>10</v>
      </c>
      <c r="G637" t="str">
        <f t="shared" si="56"/>
        <v>10</v>
      </c>
      <c r="H637">
        <v>2013</v>
      </c>
      <c r="I637" t="str">
        <f t="shared" si="57"/>
        <v>201310</v>
      </c>
      <c r="J637" t="str">
        <f t="shared" si="59"/>
        <v>https://www.euro-millions.com/results/25-10-2013</v>
      </c>
      <c r="K637" t="str">
        <f t="shared" si="58"/>
        <v>http://lottery.merseyworld.com/Euro/archive/Lott636.html</v>
      </c>
    </row>
    <row r="638" spans="1:11" x14ac:dyDescent="0.25">
      <c r="A638">
        <v>637</v>
      </c>
      <c r="B638" s="2" t="str">
        <f t="shared" si="54"/>
        <v>29-10-2013</v>
      </c>
      <c r="C638" t="s">
        <v>16</v>
      </c>
      <c r="D638">
        <v>29</v>
      </c>
      <c r="E638" t="str">
        <f t="shared" si="55"/>
        <v>29</v>
      </c>
      <c r="F638">
        <v>10</v>
      </c>
      <c r="G638" t="str">
        <f t="shared" si="56"/>
        <v>10</v>
      </c>
      <c r="H638">
        <v>2013</v>
      </c>
      <c r="I638" t="str">
        <f t="shared" si="57"/>
        <v>201310</v>
      </c>
      <c r="J638" t="str">
        <f t="shared" si="59"/>
        <v>https://www.euro-millions.com/results/29-10-2013</v>
      </c>
      <c r="K638" t="str">
        <f t="shared" si="58"/>
        <v>http://lottery.merseyworld.com/Euro/archive/Lott637.html</v>
      </c>
    </row>
    <row r="639" spans="1:11" x14ac:dyDescent="0.25">
      <c r="A639">
        <v>638</v>
      </c>
      <c r="B639" s="2" t="str">
        <f t="shared" si="54"/>
        <v>01-11-2013</v>
      </c>
      <c r="C639" t="s">
        <v>10</v>
      </c>
      <c r="D639">
        <v>1</v>
      </c>
      <c r="E639" t="str">
        <f t="shared" si="55"/>
        <v>01</v>
      </c>
      <c r="F639">
        <v>11</v>
      </c>
      <c r="G639" t="str">
        <f t="shared" si="56"/>
        <v>11</v>
      </c>
      <c r="H639">
        <v>2013</v>
      </c>
      <c r="I639" t="str">
        <f t="shared" si="57"/>
        <v>201311</v>
      </c>
      <c r="J639" t="str">
        <f t="shared" si="59"/>
        <v>https://www.euro-millions.com/results/01-11-2013</v>
      </c>
      <c r="K639" t="str">
        <f t="shared" si="58"/>
        <v>http://lottery.merseyworld.com/Euro/archive/Lott638.html</v>
      </c>
    </row>
    <row r="640" spans="1:11" x14ac:dyDescent="0.25">
      <c r="A640">
        <v>639</v>
      </c>
      <c r="B640" s="2" t="str">
        <f t="shared" si="54"/>
        <v>05-11-2013</v>
      </c>
      <c r="C640" t="s">
        <v>16</v>
      </c>
      <c r="D640">
        <v>5</v>
      </c>
      <c r="E640" t="str">
        <f t="shared" si="55"/>
        <v>05</v>
      </c>
      <c r="F640">
        <v>11</v>
      </c>
      <c r="G640" t="str">
        <f t="shared" si="56"/>
        <v>11</v>
      </c>
      <c r="H640">
        <v>2013</v>
      </c>
      <c r="I640" t="str">
        <f t="shared" si="57"/>
        <v>201311</v>
      </c>
      <c r="J640" t="str">
        <f t="shared" si="59"/>
        <v>https://www.euro-millions.com/results/05-11-2013</v>
      </c>
      <c r="K640" t="str">
        <f t="shared" si="58"/>
        <v>http://lottery.merseyworld.com/Euro/archive/Lott639.html</v>
      </c>
    </row>
    <row r="641" spans="1:11" x14ac:dyDescent="0.25">
      <c r="A641">
        <v>640</v>
      </c>
      <c r="B641" s="2" t="str">
        <f t="shared" si="54"/>
        <v>08-11-2013</v>
      </c>
      <c r="C641" t="s">
        <v>10</v>
      </c>
      <c r="D641">
        <v>8</v>
      </c>
      <c r="E641" t="str">
        <f t="shared" si="55"/>
        <v>08</v>
      </c>
      <c r="F641">
        <v>11</v>
      </c>
      <c r="G641" t="str">
        <f t="shared" si="56"/>
        <v>11</v>
      </c>
      <c r="H641">
        <v>2013</v>
      </c>
      <c r="I641" t="str">
        <f t="shared" si="57"/>
        <v>201311</v>
      </c>
      <c r="J641" t="str">
        <f t="shared" si="59"/>
        <v>https://www.euro-millions.com/results/08-11-2013</v>
      </c>
      <c r="K641" t="str">
        <f t="shared" si="58"/>
        <v>http://lottery.merseyworld.com/Euro/archive/Lott640.html</v>
      </c>
    </row>
    <row r="642" spans="1:11" x14ac:dyDescent="0.25">
      <c r="A642">
        <v>641</v>
      </c>
      <c r="B642" s="2" t="str">
        <f t="shared" si="54"/>
        <v>12-11-2013</v>
      </c>
      <c r="C642" t="s">
        <v>16</v>
      </c>
      <c r="D642">
        <v>12</v>
      </c>
      <c r="E642" t="str">
        <f t="shared" si="55"/>
        <v>12</v>
      </c>
      <c r="F642">
        <v>11</v>
      </c>
      <c r="G642" t="str">
        <f t="shared" si="56"/>
        <v>11</v>
      </c>
      <c r="H642">
        <v>2013</v>
      </c>
      <c r="I642" t="str">
        <f t="shared" si="57"/>
        <v>201311</v>
      </c>
      <c r="J642" t="str">
        <f t="shared" si="59"/>
        <v>https://www.euro-millions.com/results/12-11-2013</v>
      </c>
      <c r="K642" t="str">
        <f t="shared" si="58"/>
        <v>http://lottery.merseyworld.com/Euro/archive/Lott641.html</v>
      </c>
    </row>
    <row r="643" spans="1:11" x14ac:dyDescent="0.25">
      <c r="A643">
        <v>642</v>
      </c>
      <c r="B643" s="2" t="str">
        <f t="shared" ref="B643:B706" si="60">CONCATENATE(E643,"-",G643,"-",H643)</f>
        <v>15-11-2013</v>
      </c>
      <c r="C643" t="s">
        <v>10</v>
      </c>
      <c r="D643">
        <v>15</v>
      </c>
      <c r="E643" t="str">
        <f t="shared" ref="E643:E706" si="61">CONCATENATE(IF(LEN(D643)=1,CONCATENATE("0",D643),D643))</f>
        <v>15</v>
      </c>
      <c r="F643">
        <v>11</v>
      </c>
      <c r="G643" t="str">
        <f t="shared" ref="G643:G706" si="62">CONCATENATE(IF(LEN(F643)=1,CONCATENATE("0",F643),F643))</f>
        <v>11</v>
      </c>
      <c r="H643">
        <v>2013</v>
      </c>
      <c r="I643" t="str">
        <f t="shared" ref="I643:I706" si="63">CONCATENATE(H643,IF(LEN(F643)=1,CONCATENATE("0",F643),F643))</f>
        <v>201311</v>
      </c>
      <c r="J643" t="str">
        <f t="shared" si="59"/>
        <v>https://www.euro-millions.com/results/15-11-2013</v>
      </c>
      <c r="K643" t="str">
        <f t="shared" ref="K643:K706" si="64">CONCATENATE("http://lottery.merseyworld.com/Euro/archive/Lott",RIGHT(CONCATENATE("00",A643),3),".html")</f>
        <v>http://lottery.merseyworld.com/Euro/archive/Lott642.html</v>
      </c>
    </row>
    <row r="644" spans="1:11" x14ac:dyDescent="0.25">
      <c r="A644">
        <v>643</v>
      </c>
      <c r="B644" s="2" t="str">
        <f t="shared" si="60"/>
        <v>19-11-2013</v>
      </c>
      <c r="C644" t="s">
        <v>16</v>
      </c>
      <c r="D644">
        <v>19</v>
      </c>
      <c r="E644" t="str">
        <f t="shared" si="61"/>
        <v>19</v>
      </c>
      <c r="F644">
        <v>11</v>
      </c>
      <c r="G644" t="str">
        <f t="shared" si="62"/>
        <v>11</v>
      </c>
      <c r="H644">
        <v>2013</v>
      </c>
      <c r="I644" t="str">
        <f t="shared" si="63"/>
        <v>201311</v>
      </c>
      <c r="J644" t="str">
        <f t="shared" si="59"/>
        <v>https://www.euro-millions.com/results/19-11-2013</v>
      </c>
      <c r="K644" t="str">
        <f t="shared" si="64"/>
        <v>http://lottery.merseyworld.com/Euro/archive/Lott643.html</v>
      </c>
    </row>
    <row r="645" spans="1:11" x14ac:dyDescent="0.25">
      <c r="A645">
        <v>644</v>
      </c>
      <c r="B645" s="2" t="str">
        <f t="shared" si="60"/>
        <v>22-11-2013</v>
      </c>
      <c r="C645" t="s">
        <v>10</v>
      </c>
      <c r="D645">
        <v>22</v>
      </c>
      <c r="E645" t="str">
        <f t="shared" si="61"/>
        <v>22</v>
      </c>
      <c r="F645">
        <v>11</v>
      </c>
      <c r="G645" t="str">
        <f t="shared" si="62"/>
        <v>11</v>
      </c>
      <c r="H645">
        <v>2013</v>
      </c>
      <c r="I645" t="str">
        <f t="shared" si="63"/>
        <v>201311</v>
      </c>
      <c r="J645" t="str">
        <f t="shared" si="59"/>
        <v>https://www.euro-millions.com/results/22-11-2013</v>
      </c>
      <c r="K645" t="str">
        <f t="shared" si="64"/>
        <v>http://lottery.merseyworld.com/Euro/archive/Lott644.html</v>
      </c>
    </row>
    <row r="646" spans="1:11" x14ac:dyDescent="0.25">
      <c r="A646">
        <v>645</v>
      </c>
      <c r="B646" s="2" t="str">
        <f t="shared" si="60"/>
        <v>26-11-2013</v>
      </c>
      <c r="C646" t="s">
        <v>16</v>
      </c>
      <c r="D646">
        <v>26</v>
      </c>
      <c r="E646" t="str">
        <f t="shared" si="61"/>
        <v>26</v>
      </c>
      <c r="F646">
        <v>11</v>
      </c>
      <c r="G646" t="str">
        <f t="shared" si="62"/>
        <v>11</v>
      </c>
      <c r="H646">
        <v>2013</v>
      </c>
      <c r="I646" t="str">
        <f t="shared" si="63"/>
        <v>201311</v>
      </c>
      <c r="J646" t="str">
        <f t="shared" si="59"/>
        <v>https://www.euro-millions.com/results/26-11-2013</v>
      </c>
      <c r="K646" t="str">
        <f t="shared" si="64"/>
        <v>http://lottery.merseyworld.com/Euro/archive/Lott645.html</v>
      </c>
    </row>
    <row r="647" spans="1:11" x14ac:dyDescent="0.25">
      <c r="A647">
        <v>646</v>
      </c>
      <c r="B647" s="2" t="str">
        <f t="shared" si="60"/>
        <v>29-11-2013</v>
      </c>
      <c r="C647" t="s">
        <v>10</v>
      </c>
      <c r="D647">
        <v>29</v>
      </c>
      <c r="E647" t="str">
        <f t="shared" si="61"/>
        <v>29</v>
      </c>
      <c r="F647">
        <v>11</v>
      </c>
      <c r="G647" t="str">
        <f t="shared" si="62"/>
        <v>11</v>
      </c>
      <c r="H647">
        <v>2013</v>
      </c>
      <c r="I647" t="str">
        <f t="shared" si="63"/>
        <v>201311</v>
      </c>
      <c r="J647" t="str">
        <f t="shared" si="59"/>
        <v>https://www.euro-millions.com/results/29-11-2013</v>
      </c>
      <c r="K647" t="str">
        <f t="shared" si="64"/>
        <v>http://lottery.merseyworld.com/Euro/archive/Lott646.html</v>
      </c>
    </row>
    <row r="648" spans="1:11" x14ac:dyDescent="0.25">
      <c r="A648">
        <v>647</v>
      </c>
      <c r="B648" s="2" t="str">
        <f t="shared" si="60"/>
        <v>03-12-2013</v>
      </c>
      <c r="C648" t="s">
        <v>16</v>
      </c>
      <c r="D648">
        <v>3</v>
      </c>
      <c r="E648" t="str">
        <f t="shared" si="61"/>
        <v>03</v>
      </c>
      <c r="F648">
        <v>12</v>
      </c>
      <c r="G648" t="str">
        <f t="shared" si="62"/>
        <v>12</v>
      </c>
      <c r="H648">
        <v>2013</v>
      </c>
      <c r="I648" t="str">
        <f t="shared" si="63"/>
        <v>201312</v>
      </c>
      <c r="J648" t="str">
        <f t="shared" ref="J648:J711" si="65">CONCATENATE("https://www.euro-millions.com/results/",E648,"-",G648,"-",H648)</f>
        <v>https://www.euro-millions.com/results/03-12-2013</v>
      </c>
      <c r="K648" t="str">
        <f t="shared" si="64"/>
        <v>http://lottery.merseyworld.com/Euro/archive/Lott647.html</v>
      </c>
    </row>
    <row r="649" spans="1:11" x14ac:dyDescent="0.25">
      <c r="A649">
        <v>648</v>
      </c>
      <c r="B649" s="2" t="str">
        <f t="shared" si="60"/>
        <v>06-12-2013</v>
      </c>
      <c r="C649" t="s">
        <v>10</v>
      </c>
      <c r="D649">
        <v>6</v>
      </c>
      <c r="E649" t="str">
        <f t="shared" si="61"/>
        <v>06</v>
      </c>
      <c r="F649">
        <v>12</v>
      </c>
      <c r="G649" t="str">
        <f t="shared" si="62"/>
        <v>12</v>
      </c>
      <c r="H649">
        <v>2013</v>
      </c>
      <c r="I649" t="str">
        <f t="shared" si="63"/>
        <v>201312</v>
      </c>
      <c r="J649" t="str">
        <f t="shared" si="65"/>
        <v>https://www.euro-millions.com/results/06-12-2013</v>
      </c>
      <c r="K649" t="str">
        <f t="shared" si="64"/>
        <v>http://lottery.merseyworld.com/Euro/archive/Lott648.html</v>
      </c>
    </row>
    <row r="650" spans="1:11" x14ac:dyDescent="0.25">
      <c r="A650">
        <v>649</v>
      </c>
      <c r="B650" s="2" t="str">
        <f t="shared" si="60"/>
        <v>10-12-2013</v>
      </c>
      <c r="C650" t="s">
        <v>16</v>
      </c>
      <c r="D650">
        <v>10</v>
      </c>
      <c r="E650" t="str">
        <f t="shared" si="61"/>
        <v>10</v>
      </c>
      <c r="F650">
        <v>12</v>
      </c>
      <c r="G650" t="str">
        <f t="shared" si="62"/>
        <v>12</v>
      </c>
      <c r="H650">
        <v>2013</v>
      </c>
      <c r="I650" t="str">
        <f t="shared" si="63"/>
        <v>201312</v>
      </c>
      <c r="J650" t="str">
        <f t="shared" si="65"/>
        <v>https://www.euro-millions.com/results/10-12-2013</v>
      </c>
      <c r="K650" t="str">
        <f t="shared" si="64"/>
        <v>http://lottery.merseyworld.com/Euro/archive/Lott649.html</v>
      </c>
    </row>
    <row r="651" spans="1:11" x14ac:dyDescent="0.25">
      <c r="A651">
        <v>650</v>
      </c>
      <c r="B651" s="2" t="str">
        <f t="shared" si="60"/>
        <v>13-12-2013</v>
      </c>
      <c r="C651" t="s">
        <v>10</v>
      </c>
      <c r="D651">
        <v>13</v>
      </c>
      <c r="E651" t="str">
        <f t="shared" si="61"/>
        <v>13</v>
      </c>
      <c r="F651">
        <v>12</v>
      </c>
      <c r="G651" t="str">
        <f t="shared" si="62"/>
        <v>12</v>
      </c>
      <c r="H651">
        <v>2013</v>
      </c>
      <c r="I651" t="str">
        <f t="shared" si="63"/>
        <v>201312</v>
      </c>
      <c r="J651" t="str">
        <f t="shared" si="65"/>
        <v>https://www.euro-millions.com/results/13-12-2013</v>
      </c>
      <c r="K651" t="str">
        <f t="shared" si="64"/>
        <v>http://lottery.merseyworld.com/Euro/archive/Lott650.html</v>
      </c>
    </row>
    <row r="652" spans="1:11" x14ac:dyDescent="0.25">
      <c r="A652">
        <v>651</v>
      </c>
      <c r="B652" s="2" t="str">
        <f t="shared" si="60"/>
        <v>17-12-2013</v>
      </c>
      <c r="C652" t="s">
        <v>16</v>
      </c>
      <c r="D652">
        <v>17</v>
      </c>
      <c r="E652" t="str">
        <f t="shared" si="61"/>
        <v>17</v>
      </c>
      <c r="F652">
        <v>12</v>
      </c>
      <c r="G652" t="str">
        <f t="shared" si="62"/>
        <v>12</v>
      </c>
      <c r="H652">
        <v>2013</v>
      </c>
      <c r="I652" t="str">
        <f t="shared" si="63"/>
        <v>201312</v>
      </c>
      <c r="J652" t="str">
        <f t="shared" si="65"/>
        <v>https://www.euro-millions.com/results/17-12-2013</v>
      </c>
      <c r="K652" t="str">
        <f t="shared" si="64"/>
        <v>http://lottery.merseyworld.com/Euro/archive/Lott651.html</v>
      </c>
    </row>
    <row r="653" spans="1:11" x14ac:dyDescent="0.25">
      <c r="A653">
        <v>652</v>
      </c>
      <c r="B653" s="2" t="str">
        <f t="shared" si="60"/>
        <v>20-12-2013</v>
      </c>
      <c r="C653" t="s">
        <v>10</v>
      </c>
      <c r="D653">
        <v>20</v>
      </c>
      <c r="E653" t="str">
        <f t="shared" si="61"/>
        <v>20</v>
      </c>
      <c r="F653">
        <v>12</v>
      </c>
      <c r="G653" t="str">
        <f t="shared" si="62"/>
        <v>12</v>
      </c>
      <c r="H653">
        <v>2013</v>
      </c>
      <c r="I653" t="str">
        <f t="shared" si="63"/>
        <v>201312</v>
      </c>
      <c r="J653" t="str">
        <f t="shared" si="65"/>
        <v>https://www.euro-millions.com/results/20-12-2013</v>
      </c>
      <c r="K653" t="str">
        <f t="shared" si="64"/>
        <v>http://lottery.merseyworld.com/Euro/archive/Lott652.html</v>
      </c>
    </row>
    <row r="654" spans="1:11" x14ac:dyDescent="0.25">
      <c r="A654">
        <v>653</v>
      </c>
      <c r="B654" s="2" t="str">
        <f t="shared" si="60"/>
        <v>24-12-2013</v>
      </c>
      <c r="C654" t="s">
        <v>16</v>
      </c>
      <c r="D654">
        <v>24</v>
      </c>
      <c r="E654" t="str">
        <f t="shared" si="61"/>
        <v>24</v>
      </c>
      <c r="F654">
        <v>12</v>
      </c>
      <c r="G654" t="str">
        <f t="shared" si="62"/>
        <v>12</v>
      </c>
      <c r="H654">
        <v>2013</v>
      </c>
      <c r="I654" t="str">
        <f t="shared" si="63"/>
        <v>201312</v>
      </c>
      <c r="J654" t="str">
        <f t="shared" si="65"/>
        <v>https://www.euro-millions.com/results/24-12-2013</v>
      </c>
      <c r="K654" t="str">
        <f t="shared" si="64"/>
        <v>http://lottery.merseyworld.com/Euro/archive/Lott653.html</v>
      </c>
    </row>
    <row r="655" spans="1:11" x14ac:dyDescent="0.25">
      <c r="A655">
        <v>654</v>
      </c>
      <c r="B655" s="2" t="str">
        <f t="shared" si="60"/>
        <v>27-12-2013</v>
      </c>
      <c r="C655" t="s">
        <v>10</v>
      </c>
      <c r="D655">
        <v>27</v>
      </c>
      <c r="E655" t="str">
        <f t="shared" si="61"/>
        <v>27</v>
      </c>
      <c r="F655">
        <v>12</v>
      </c>
      <c r="G655" t="str">
        <f t="shared" si="62"/>
        <v>12</v>
      </c>
      <c r="H655">
        <v>2013</v>
      </c>
      <c r="I655" t="str">
        <f t="shared" si="63"/>
        <v>201312</v>
      </c>
      <c r="J655" t="str">
        <f t="shared" si="65"/>
        <v>https://www.euro-millions.com/results/27-12-2013</v>
      </c>
      <c r="K655" t="str">
        <f t="shared" si="64"/>
        <v>http://lottery.merseyworld.com/Euro/archive/Lott654.html</v>
      </c>
    </row>
    <row r="656" spans="1:11" x14ac:dyDescent="0.25">
      <c r="A656">
        <v>655</v>
      </c>
      <c r="B656" s="2" t="str">
        <f t="shared" si="60"/>
        <v>31-12-2013</v>
      </c>
      <c r="C656" t="s">
        <v>16</v>
      </c>
      <c r="D656">
        <v>31</v>
      </c>
      <c r="E656" t="str">
        <f t="shared" si="61"/>
        <v>31</v>
      </c>
      <c r="F656">
        <v>12</v>
      </c>
      <c r="G656" t="str">
        <f t="shared" si="62"/>
        <v>12</v>
      </c>
      <c r="H656">
        <v>2013</v>
      </c>
      <c r="I656" t="str">
        <f t="shared" si="63"/>
        <v>201312</v>
      </c>
      <c r="J656" t="str">
        <f t="shared" si="65"/>
        <v>https://www.euro-millions.com/results/31-12-2013</v>
      </c>
      <c r="K656" t="str">
        <f t="shared" si="64"/>
        <v>http://lottery.merseyworld.com/Euro/archive/Lott655.html</v>
      </c>
    </row>
    <row r="657" spans="1:11" x14ac:dyDescent="0.25">
      <c r="A657">
        <v>656</v>
      </c>
      <c r="B657" s="2" t="str">
        <f t="shared" si="60"/>
        <v>03-01-2014</v>
      </c>
      <c r="C657" t="s">
        <v>10</v>
      </c>
      <c r="D657">
        <v>3</v>
      </c>
      <c r="E657" t="str">
        <f t="shared" si="61"/>
        <v>03</v>
      </c>
      <c r="F657">
        <v>1</v>
      </c>
      <c r="G657" t="str">
        <f t="shared" si="62"/>
        <v>01</v>
      </c>
      <c r="H657">
        <v>2014</v>
      </c>
      <c r="I657" t="str">
        <f t="shared" si="63"/>
        <v>201401</v>
      </c>
      <c r="J657" t="str">
        <f t="shared" si="65"/>
        <v>https://www.euro-millions.com/results/03-01-2014</v>
      </c>
      <c r="K657" t="str">
        <f t="shared" si="64"/>
        <v>http://lottery.merseyworld.com/Euro/archive/Lott656.html</v>
      </c>
    </row>
    <row r="658" spans="1:11" x14ac:dyDescent="0.25">
      <c r="A658">
        <v>657</v>
      </c>
      <c r="B658" s="2" t="str">
        <f t="shared" si="60"/>
        <v>07-01-2014</v>
      </c>
      <c r="C658" t="s">
        <v>16</v>
      </c>
      <c r="D658">
        <v>7</v>
      </c>
      <c r="E658" t="str">
        <f t="shared" si="61"/>
        <v>07</v>
      </c>
      <c r="F658">
        <v>1</v>
      </c>
      <c r="G658" t="str">
        <f t="shared" si="62"/>
        <v>01</v>
      </c>
      <c r="H658">
        <v>2014</v>
      </c>
      <c r="I658" t="str">
        <f t="shared" si="63"/>
        <v>201401</v>
      </c>
      <c r="J658" t="str">
        <f t="shared" si="65"/>
        <v>https://www.euro-millions.com/results/07-01-2014</v>
      </c>
      <c r="K658" t="str">
        <f t="shared" si="64"/>
        <v>http://lottery.merseyworld.com/Euro/archive/Lott657.html</v>
      </c>
    </row>
    <row r="659" spans="1:11" x14ac:dyDescent="0.25">
      <c r="A659">
        <v>658</v>
      </c>
      <c r="B659" s="2" t="str">
        <f t="shared" si="60"/>
        <v>10-01-2014</v>
      </c>
      <c r="C659" t="s">
        <v>10</v>
      </c>
      <c r="D659">
        <v>10</v>
      </c>
      <c r="E659" t="str">
        <f t="shared" si="61"/>
        <v>10</v>
      </c>
      <c r="F659">
        <v>1</v>
      </c>
      <c r="G659" t="str">
        <f t="shared" si="62"/>
        <v>01</v>
      </c>
      <c r="H659">
        <v>2014</v>
      </c>
      <c r="I659" t="str">
        <f t="shared" si="63"/>
        <v>201401</v>
      </c>
      <c r="J659" t="str">
        <f t="shared" si="65"/>
        <v>https://www.euro-millions.com/results/10-01-2014</v>
      </c>
      <c r="K659" t="str">
        <f t="shared" si="64"/>
        <v>http://lottery.merseyworld.com/Euro/archive/Lott658.html</v>
      </c>
    </row>
    <row r="660" spans="1:11" x14ac:dyDescent="0.25">
      <c r="A660">
        <v>659</v>
      </c>
      <c r="B660" s="2" t="str">
        <f t="shared" si="60"/>
        <v>14-01-2014</v>
      </c>
      <c r="C660" t="s">
        <v>16</v>
      </c>
      <c r="D660">
        <v>14</v>
      </c>
      <c r="E660" t="str">
        <f t="shared" si="61"/>
        <v>14</v>
      </c>
      <c r="F660">
        <v>1</v>
      </c>
      <c r="G660" t="str">
        <f t="shared" si="62"/>
        <v>01</v>
      </c>
      <c r="H660">
        <v>2014</v>
      </c>
      <c r="I660" t="str">
        <f t="shared" si="63"/>
        <v>201401</v>
      </c>
      <c r="J660" t="str">
        <f t="shared" si="65"/>
        <v>https://www.euro-millions.com/results/14-01-2014</v>
      </c>
      <c r="K660" t="str">
        <f t="shared" si="64"/>
        <v>http://lottery.merseyworld.com/Euro/archive/Lott659.html</v>
      </c>
    </row>
    <row r="661" spans="1:11" x14ac:dyDescent="0.25">
      <c r="A661">
        <v>660</v>
      </c>
      <c r="B661" s="2" t="str">
        <f t="shared" si="60"/>
        <v>17-01-2014</v>
      </c>
      <c r="C661" t="s">
        <v>10</v>
      </c>
      <c r="D661">
        <v>17</v>
      </c>
      <c r="E661" t="str">
        <f t="shared" si="61"/>
        <v>17</v>
      </c>
      <c r="F661">
        <v>1</v>
      </c>
      <c r="G661" t="str">
        <f t="shared" si="62"/>
        <v>01</v>
      </c>
      <c r="H661">
        <v>2014</v>
      </c>
      <c r="I661" t="str">
        <f t="shared" si="63"/>
        <v>201401</v>
      </c>
      <c r="J661" t="str">
        <f t="shared" si="65"/>
        <v>https://www.euro-millions.com/results/17-01-2014</v>
      </c>
      <c r="K661" t="str">
        <f t="shared" si="64"/>
        <v>http://lottery.merseyworld.com/Euro/archive/Lott660.html</v>
      </c>
    </row>
    <row r="662" spans="1:11" x14ac:dyDescent="0.25">
      <c r="A662">
        <v>661</v>
      </c>
      <c r="B662" s="2" t="str">
        <f t="shared" si="60"/>
        <v>21-01-2014</v>
      </c>
      <c r="C662" t="s">
        <v>16</v>
      </c>
      <c r="D662">
        <v>21</v>
      </c>
      <c r="E662" t="str">
        <f t="shared" si="61"/>
        <v>21</v>
      </c>
      <c r="F662">
        <v>1</v>
      </c>
      <c r="G662" t="str">
        <f t="shared" si="62"/>
        <v>01</v>
      </c>
      <c r="H662">
        <v>2014</v>
      </c>
      <c r="I662" t="str">
        <f t="shared" si="63"/>
        <v>201401</v>
      </c>
      <c r="J662" t="str">
        <f t="shared" si="65"/>
        <v>https://www.euro-millions.com/results/21-01-2014</v>
      </c>
      <c r="K662" t="str">
        <f t="shared" si="64"/>
        <v>http://lottery.merseyworld.com/Euro/archive/Lott661.html</v>
      </c>
    </row>
    <row r="663" spans="1:11" x14ac:dyDescent="0.25">
      <c r="A663">
        <v>662</v>
      </c>
      <c r="B663" s="2" t="str">
        <f t="shared" si="60"/>
        <v>24-01-2014</v>
      </c>
      <c r="C663" t="s">
        <v>10</v>
      </c>
      <c r="D663">
        <v>24</v>
      </c>
      <c r="E663" t="str">
        <f t="shared" si="61"/>
        <v>24</v>
      </c>
      <c r="F663">
        <v>1</v>
      </c>
      <c r="G663" t="str">
        <f t="shared" si="62"/>
        <v>01</v>
      </c>
      <c r="H663">
        <v>2014</v>
      </c>
      <c r="I663" t="str">
        <f t="shared" si="63"/>
        <v>201401</v>
      </c>
      <c r="J663" t="str">
        <f t="shared" si="65"/>
        <v>https://www.euro-millions.com/results/24-01-2014</v>
      </c>
      <c r="K663" t="str">
        <f t="shared" si="64"/>
        <v>http://lottery.merseyworld.com/Euro/archive/Lott662.html</v>
      </c>
    </row>
    <row r="664" spans="1:11" x14ac:dyDescent="0.25">
      <c r="A664">
        <v>663</v>
      </c>
      <c r="B664" s="2" t="str">
        <f t="shared" si="60"/>
        <v>28-01-2014</v>
      </c>
      <c r="C664" t="s">
        <v>16</v>
      </c>
      <c r="D664">
        <v>28</v>
      </c>
      <c r="E664" t="str">
        <f t="shared" si="61"/>
        <v>28</v>
      </c>
      <c r="F664">
        <v>1</v>
      </c>
      <c r="G664" t="str">
        <f t="shared" si="62"/>
        <v>01</v>
      </c>
      <c r="H664">
        <v>2014</v>
      </c>
      <c r="I664" t="str">
        <f t="shared" si="63"/>
        <v>201401</v>
      </c>
      <c r="J664" t="str">
        <f t="shared" si="65"/>
        <v>https://www.euro-millions.com/results/28-01-2014</v>
      </c>
      <c r="K664" t="str">
        <f t="shared" si="64"/>
        <v>http://lottery.merseyworld.com/Euro/archive/Lott663.html</v>
      </c>
    </row>
    <row r="665" spans="1:11" x14ac:dyDescent="0.25">
      <c r="A665">
        <v>664</v>
      </c>
      <c r="B665" s="2" t="str">
        <f t="shared" si="60"/>
        <v>31-01-2014</v>
      </c>
      <c r="C665" t="s">
        <v>10</v>
      </c>
      <c r="D665">
        <v>31</v>
      </c>
      <c r="E665" t="str">
        <f t="shared" si="61"/>
        <v>31</v>
      </c>
      <c r="F665">
        <v>1</v>
      </c>
      <c r="G665" t="str">
        <f t="shared" si="62"/>
        <v>01</v>
      </c>
      <c r="H665">
        <v>2014</v>
      </c>
      <c r="I665" t="str">
        <f t="shared" si="63"/>
        <v>201401</v>
      </c>
      <c r="J665" t="str">
        <f t="shared" si="65"/>
        <v>https://www.euro-millions.com/results/31-01-2014</v>
      </c>
      <c r="K665" t="str">
        <f t="shared" si="64"/>
        <v>http://lottery.merseyworld.com/Euro/archive/Lott664.html</v>
      </c>
    </row>
    <row r="666" spans="1:11" x14ac:dyDescent="0.25">
      <c r="A666">
        <v>665</v>
      </c>
      <c r="B666" s="2" t="str">
        <f t="shared" si="60"/>
        <v>04-02-2014</v>
      </c>
      <c r="C666" t="s">
        <v>16</v>
      </c>
      <c r="D666">
        <v>4</v>
      </c>
      <c r="E666" t="str">
        <f t="shared" si="61"/>
        <v>04</v>
      </c>
      <c r="F666">
        <v>2</v>
      </c>
      <c r="G666" t="str">
        <f t="shared" si="62"/>
        <v>02</v>
      </c>
      <c r="H666">
        <v>2014</v>
      </c>
      <c r="I666" t="str">
        <f t="shared" si="63"/>
        <v>201402</v>
      </c>
      <c r="J666" t="str">
        <f t="shared" si="65"/>
        <v>https://www.euro-millions.com/results/04-02-2014</v>
      </c>
      <c r="K666" t="str">
        <f t="shared" si="64"/>
        <v>http://lottery.merseyworld.com/Euro/archive/Lott665.html</v>
      </c>
    </row>
    <row r="667" spans="1:11" x14ac:dyDescent="0.25">
      <c r="A667">
        <v>666</v>
      </c>
      <c r="B667" s="2" t="str">
        <f t="shared" si="60"/>
        <v>07-02-2014</v>
      </c>
      <c r="C667" t="s">
        <v>10</v>
      </c>
      <c r="D667">
        <v>7</v>
      </c>
      <c r="E667" t="str">
        <f t="shared" si="61"/>
        <v>07</v>
      </c>
      <c r="F667">
        <v>2</v>
      </c>
      <c r="G667" t="str">
        <f t="shared" si="62"/>
        <v>02</v>
      </c>
      <c r="H667">
        <v>2014</v>
      </c>
      <c r="I667" t="str">
        <f t="shared" si="63"/>
        <v>201402</v>
      </c>
      <c r="J667" t="str">
        <f t="shared" si="65"/>
        <v>https://www.euro-millions.com/results/07-02-2014</v>
      </c>
      <c r="K667" t="str">
        <f t="shared" si="64"/>
        <v>http://lottery.merseyworld.com/Euro/archive/Lott666.html</v>
      </c>
    </row>
    <row r="668" spans="1:11" x14ac:dyDescent="0.25">
      <c r="A668">
        <v>667</v>
      </c>
      <c r="B668" s="2" t="str">
        <f t="shared" si="60"/>
        <v>11-02-2014</v>
      </c>
      <c r="C668" t="s">
        <v>16</v>
      </c>
      <c r="D668">
        <v>11</v>
      </c>
      <c r="E668" t="str">
        <f t="shared" si="61"/>
        <v>11</v>
      </c>
      <c r="F668">
        <v>2</v>
      </c>
      <c r="G668" t="str">
        <f t="shared" si="62"/>
        <v>02</v>
      </c>
      <c r="H668">
        <v>2014</v>
      </c>
      <c r="I668" t="str">
        <f t="shared" si="63"/>
        <v>201402</v>
      </c>
      <c r="J668" t="str">
        <f t="shared" si="65"/>
        <v>https://www.euro-millions.com/results/11-02-2014</v>
      </c>
      <c r="K668" t="str">
        <f t="shared" si="64"/>
        <v>http://lottery.merseyworld.com/Euro/archive/Lott667.html</v>
      </c>
    </row>
    <row r="669" spans="1:11" x14ac:dyDescent="0.25">
      <c r="A669">
        <v>668</v>
      </c>
      <c r="B669" s="2" t="str">
        <f t="shared" si="60"/>
        <v>14-02-2014</v>
      </c>
      <c r="C669" t="s">
        <v>10</v>
      </c>
      <c r="D669">
        <v>14</v>
      </c>
      <c r="E669" t="str">
        <f t="shared" si="61"/>
        <v>14</v>
      </c>
      <c r="F669">
        <v>2</v>
      </c>
      <c r="G669" t="str">
        <f t="shared" si="62"/>
        <v>02</v>
      </c>
      <c r="H669">
        <v>2014</v>
      </c>
      <c r="I669" t="str">
        <f t="shared" si="63"/>
        <v>201402</v>
      </c>
      <c r="J669" t="str">
        <f t="shared" si="65"/>
        <v>https://www.euro-millions.com/results/14-02-2014</v>
      </c>
      <c r="K669" t="str">
        <f t="shared" si="64"/>
        <v>http://lottery.merseyworld.com/Euro/archive/Lott668.html</v>
      </c>
    </row>
    <row r="670" spans="1:11" x14ac:dyDescent="0.25">
      <c r="A670">
        <v>669</v>
      </c>
      <c r="B670" s="2" t="str">
        <f t="shared" si="60"/>
        <v>18-02-2014</v>
      </c>
      <c r="C670" t="s">
        <v>16</v>
      </c>
      <c r="D670">
        <v>18</v>
      </c>
      <c r="E670" t="str">
        <f t="shared" si="61"/>
        <v>18</v>
      </c>
      <c r="F670">
        <v>2</v>
      </c>
      <c r="G670" t="str">
        <f t="shared" si="62"/>
        <v>02</v>
      </c>
      <c r="H670">
        <v>2014</v>
      </c>
      <c r="I670" t="str">
        <f t="shared" si="63"/>
        <v>201402</v>
      </c>
      <c r="J670" t="str">
        <f t="shared" si="65"/>
        <v>https://www.euro-millions.com/results/18-02-2014</v>
      </c>
      <c r="K670" t="str">
        <f t="shared" si="64"/>
        <v>http://lottery.merseyworld.com/Euro/archive/Lott669.html</v>
      </c>
    </row>
    <row r="671" spans="1:11" x14ac:dyDescent="0.25">
      <c r="A671">
        <v>670</v>
      </c>
      <c r="B671" s="2" t="str">
        <f t="shared" si="60"/>
        <v>21-02-2014</v>
      </c>
      <c r="C671" t="s">
        <v>10</v>
      </c>
      <c r="D671">
        <v>21</v>
      </c>
      <c r="E671" t="str">
        <f t="shared" si="61"/>
        <v>21</v>
      </c>
      <c r="F671">
        <v>2</v>
      </c>
      <c r="G671" t="str">
        <f t="shared" si="62"/>
        <v>02</v>
      </c>
      <c r="H671">
        <v>2014</v>
      </c>
      <c r="I671" t="str">
        <f t="shared" si="63"/>
        <v>201402</v>
      </c>
      <c r="J671" t="str">
        <f t="shared" si="65"/>
        <v>https://www.euro-millions.com/results/21-02-2014</v>
      </c>
      <c r="K671" t="str">
        <f t="shared" si="64"/>
        <v>http://lottery.merseyworld.com/Euro/archive/Lott670.html</v>
      </c>
    </row>
    <row r="672" spans="1:11" x14ac:dyDescent="0.25">
      <c r="A672">
        <v>671</v>
      </c>
      <c r="B672" s="2" t="str">
        <f t="shared" si="60"/>
        <v>25-02-2014</v>
      </c>
      <c r="C672" t="s">
        <v>16</v>
      </c>
      <c r="D672">
        <v>25</v>
      </c>
      <c r="E672" t="str">
        <f t="shared" si="61"/>
        <v>25</v>
      </c>
      <c r="F672">
        <v>2</v>
      </c>
      <c r="G672" t="str">
        <f t="shared" si="62"/>
        <v>02</v>
      </c>
      <c r="H672">
        <v>2014</v>
      </c>
      <c r="I672" t="str">
        <f t="shared" si="63"/>
        <v>201402</v>
      </c>
      <c r="J672" t="str">
        <f t="shared" si="65"/>
        <v>https://www.euro-millions.com/results/25-02-2014</v>
      </c>
      <c r="K672" t="str">
        <f t="shared" si="64"/>
        <v>http://lottery.merseyworld.com/Euro/archive/Lott671.html</v>
      </c>
    </row>
    <row r="673" spans="1:11" x14ac:dyDescent="0.25">
      <c r="A673">
        <v>672</v>
      </c>
      <c r="B673" s="2" t="str">
        <f t="shared" si="60"/>
        <v>28-02-2014</v>
      </c>
      <c r="C673" t="s">
        <v>10</v>
      </c>
      <c r="D673">
        <v>28</v>
      </c>
      <c r="E673" t="str">
        <f t="shared" si="61"/>
        <v>28</v>
      </c>
      <c r="F673">
        <v>2</v>
      </c>
      <c r="G673" t="str">
        <f t="shared" si="62"/>
        <v>02</v>
      </c>
      <c r="H673">
        <v>2014</v>
      </c>
      <c r="I673" t="str">
        <f t="shared" si="63"/>
        <v>201402</v>
      </c>
      <c r="J673" t="str">
        <f t="shared" si="65"/>
        <v>https://www.euro-millions.com/results/28-02-2014</v>
      </c>
      <c r="K673" t="str">
        <f t="shared" si="64"/>
        <v>http://lottery.merseyworld.com/Euro/archive/Lott672.html</v>
      </c>
    </row>
    <row r="674" spans="1:11" x14ac:dyDescent="0.25">
      <c r="A674">
        <v>673</v>
      </c>
      <c r="B674" s="2" t="str">
        <f t="shared" si="60"/>
        <v>04-03-2014</v>
      </c>
      <c r="C674" t="s">
        <v>16</v>
      </c>
      <c r="D674">
        <v>4</v>
      </c>
      <c r="E674" t="str">
        <f t="shared" si="61"/>
        <v>04</v>
      </c>
      <c r="F674">
        <v>3</v>
      </c>
      <c r="G674" t="str">
        <f t="shared" si="62"/>
        <v>03</v>
      </c>
      <c r="H674">
        <v>2014</v>
      </c>
      <c r="I674" t="str">
        <f t="shared" si="63"/>
        <v>201403</v>
      </c>
      <c r="J674" t="str">
        <f t="shared" si="65"/>
        <v>https://www.euro-millions.com/results/04-03-2014</v>
      </c>
      <c r="K674" t="str">
        <f t="shared" si="64"/>
        <v>http://lottery.merseyworld.com/Euro/archive/Lott673.html</v>
      </c>
    </row>
    <row r="675" spans="1:11" x14ac:dyDescent="0.25">
      <c r="A675">
        <v>674</v>
      </c>
      <c r="B675" s="2" t="str">
        <f t="shared" si="60"/>
        <v>07-03-2014</v>
      </c>
      <c r="C675" t="s">
        <v>10</v>
      </c>
      <c r="D675">
        <v>7</v>
      </c>
      <c r="E675" t="str">
        <f t="shared" si="61"/>
        <v>07</v>
      </c>
      <c r="F675">
        <v>3</v>
      </c>
      <c r="G675" t="str">
        <f t="shared" si="62"/>
        <v>03</v>
      </c>
      <c r="H675">
        <v>2014</v>
      </c>
      <c r="I675" t="str">
        <f t="shared" si="63"/>
        <v>201403</v>
      </c>
      <c r="J675" t="str">
        <f t="shared" si="65"/>
        <v>https://www.euro-millions.com/results/07-03-2014</v>
      </c>
      <c r="K675" t="str">
        <f t="shared" si="64"/>
        <v>http://lottery.merseyworld.com/Euro/archive/Lott674.html</v>
      </c>
    </row>
    <row r="676" spans="1:11" x14ac:dyDescent="0.25">
      <c r="A676">
        <v>675</v>
      </c>
      <c r="B676" s="2" t="str">
        <f t="shared" si="60"/>
        <v>11-03-2014</v>
      </c>
      <c r="C676" t="s">
        <v>16</v>
      </c>
      <c r="D676">
        <v>11</v>
      </c>
      <c r="E676" t="str">
        <f t="shared" si="61"/>
        <v>11</v>
      </c>
      <c r="F676">
        <v>3</v>
      </c>
      <c r="G676" t="str">
        <f t="shared" si="62"/>
        <v>03</v>
      </c>
      <c r="H676">
        <v>2014</v>
      </c>
      <c r="I676" t="str">
        <f t="shared" si="63"/>
        <v>201403</v>
      </c>
      <c r="J676" t="str">
        <f t="shared" si="65"/>
        <v>https://www.euro-millions.com/results/11-03-2014</v>
      </c>
      <c r="K676" t="str">
        <f t="shared" si="64"/>
        <v>http://lottery.merseyworld.com/Euro/archive/Lott675.html</v>
      </c>
    </row>
    <row r="677" spans="1:11" x14ac:dyDescent="0.25">
      <c r="A677">
        <v>676</v>
      </c>
      <c r="B677" s="2" t="str">
        <f t="shared" si="60"/>
        <v>14-03-2014</v>
      </c>
      <c r="C677" t="s">
        <v>10</v>
      </c>
      <c r="D677">
        <v>14</v>
      </c>
      <c r="E677" t="str">
        <f t="shared" si="61"/>
        <v>14</v>
      </c>
      <c r="F677">
        <v>3</v>
      </c>
      <c r="G677" t="str">
        <f t="shared" si="62"/>
        <v>03</v>
      </c>
      <c r="H677">
        <v>2014</v>
      </c>
      <c r="I677" t="str">
        <f t="shared" si="63"/>
        <v>201403</v>
      </c>
      <c r="J677" t="str">
        <f t="shared" si="65"/>
        <v>https://www.euro-millions.com/results/14-03-2014</v>
      </c>
      <c r="K677" t="str">
        <f t="shared" si="64"/>
        <v>http://lottery.merseyworld.com/Euro/archive/Lott676.html</v>
      </c>
    </row>
    <row r="678" spans="1:11" x14ac:dyDescent="0.25">
      <c r="A678">
        <v>677</v>
      </c>
      <c r="B678" s="2" t="str">
        <f t="shared" si="60"/>
        <v>18-03-2014</v>
      </c>
      <c r="C678" t="s">
        <v>16</v>
      </c>
      <c r="D678">
        <v>18</v>
      </c>
      <c r="E678" t="str">
        <f t="shared" si="61"/>
        <v>18</v>
      </c>
      <c r="F678">
        <v>3</v>
      </c>
      <c r="G678" t="str">
        <f t="shared" si="62"/>
        <v>03</v>
      </c>
      <c r="H678">
        <v>2014</v>
      </c>
      <c r="I678" t="str">
        <f t="shared" si="63"/>
        <v>201403</v>
      </c>
      <c r="J678" t="str">
        <f t="shared" si="65"/>
        <v>https://www.euro-millions.com/results/18-03-2014</v>
      </c>
      <c r="K678" t="str">
        <f t="shared" si="64"/>
        <v>http://lottery.merseyworld.com/Euro/archive/Lott677.html</v>
      </c>
    </row>
    <row r="679" spans="1:11" x14ac:dyDescent="0.25">
      <c r="A679">
        <v>678</v>
      </c>
      <c r="B679" s="2" t="str">
        <f t="shared" si="60"/>
        <v>21-03-2014</v>
      </c>
      <c r="C679" t="s">
        <v>10</v>
      </c>
      <c r="D679">
        <v>21</v>
      </c>
      <c r="E679" t="str">
        <f t="shared" si="61"/>
        <v>21</v>
      </c>
      <c r="F679">
        <v>3</v>
      </c>
      <c r="G679" t="str">
        <f t="shared" si="62"/>
        <v>03</v>
      </c>
      <c r="H679">
        <v>2014</v>
      </c>
      <c r="I679" t="str">
        <f t="shared" si="63"/>
        <v>201403</v>
      </c>
      <c r="J679" t="str">
        <f t="shared" si="65"/>
        <v>https://www.euro-millions.com/results/21-03-2014</v>
      </c>
      <c r="K679" t="str">
        <f t="shared" si="64"/>
        <v>http://lottery.merseyworld.com/Euro/archive/Lott678.html</v>
      </c>
    </row>
    <row r="680" spans="1:11" x14ac:dyDescent="0.25">
      <c r="A680">
        <v>679</v>
      </c>
      <c r="B680" s="2" t="str">
        <f t="shared" si="60"/>
        <v>25-03-2014</v>
      </c>
      <c r="C680" t="s">
        <v>16</v>
      </c>
      <c r="D680">
        <v>25</v>
      </c>
      <c r="E680" t="str">
        <f t="shared" si="61"/>
        <v>25</v>
      </c>
      <c r="F680">
        <v>3</v>
      </c>
      <c r="G680" t="str">
        <f t="shared" si="62"/>
        <v>03</v>
      </c>
      <c r="H680">
        <v>2014</v>
      </c>
      <c r="I680" t="str">
        <f t="shared" si="63"/>
        <v>201403</v>
      </c>
      <c r="J680" t="str">
        <f t="shared" si="65"/>
        <v>https://www.euro-millions.com/results/25-03-2014</v>
      </c>
      <c r="K680" t="str">
        <f t="shared" si="64"/>
        <v>http://lottery.merseyworld.com/Euro/archive/Lott679.html</v>
      </c>
    </row>
    <row r="681" spans="1:11" x14ac:dyDescent="0.25">
      <c r="A681">
        <v>680</v>
      </c>
      <c r="B681" s="2" t="str">
        <f t="shared" si="60"/>
        <v>28-03-2014</v>
      </c>
      <c r="C681" t="s">
        <v>10</v>
      </c>
      <c r="D681">
        <v>28</v>
      </c>
      <c r="E681" t="str">
        <f t="shared" si="61"/>
        <v>28</v>
      </c>
      <c r="F681">
        <v>3</v>
      </c>
      <c r="G681" t="str">
        <f t="shared" si="62"/>
        <v>03</v>
      </c>
      <c r="H681">
        <v>2014</v>
      </c>
      <c r="I681" t="str">
        <f t="shared" si="63"/>
        <v>201403</v>
      </c>
      <c r="J681" t="str">
        <f t="shared" si="65"/>
        <v>https://www.euro-millions.com/results/28-03-2014</v>
      </c>
      <c r="K681" t="str">
        <f t="shared" si="64"/>
        <v>http://lottery.merseyworld.com/Euro/archive/Lott680.html</v>
      </c>
    </row>
    <row r="682" spans="1:11" x14ac:dyDescent="0.25">
      <c r="A682">
        <v>681</v>
      </c>
      <c r="B682" s="2" t="str">
        <f t="shared" si="60"/>
        <v>01-04-2014</v>
      </c>
      <c r="C682" t="s">
        <v>16</v>
      </c>
      <c r="D682">
        <v>1</v>
      </c>
      <c r="E682" t="str">
        <f t="shared" si="61"/>
        <v>01</v>
      </c>
      <c r="F682">
        <v>4</v>
      </c>
      <c r="G682" t="str">
        <f t="shared" si="62"/>
        <v>04</v>
      </c>
      <c r="H682">
        <v>2014</v>
      </c>
      <c r="I682" t="str">
        <f t="shared" si="63"/>
        <v>201404</v>
      </c>
      <c r="J682" t="str">
        <f t="shared" si="65"/>
        <v>https://www.euro-millions.com/results/01-04-2014</v>
      </c>
      <c r="K682" t="str">
        <f t="shared" si="64"/>
        <v>http://lottery.merseyworld.com/Euro/archive/Lott681.html</v>
      </c>
    </row>
    <row r="683" spans="1:11" x14ac:dyDescent="0.25">
      <c r="A683">
        <v>682</v>
      </c>
      <c r="B683" s="2" t="str">
        <f t="shared" si="60"/>
        <v>04-04-2014</v>
      </c>
      <c r="C683" t="s">
        <v>10</v>
      </c>
      <c r="D683">
        <v>4</v>
      </c>
      <c r="E683" t="str">
        <f t="shared" si="61"/>
        <v>04</v>
      </c>
      <c r="F683">
        <v>4</v>
      </c>
      <c r="G683" t="str">
        <f t="shared" si="62"/>
        <v>04</v>
      </c>
      <c r="H683">
        <v>2014</v>
      </c>
      <c r="I683" t="str">
        <f t="shared" si="63"/>
        <v>201404</v>
      </c>
      <c r="J683" t="str">
        <f t="shared" si="65"/>
        <v>https://www.euro-millions.com/results/04-04-2014</v>
      </c>
      <c r="K683" t="str">
        <f t="shared" si="64"/>
        <v>http://lottery.merseyworld.com/Euro/archive/Lott682.html</v>
      </c>
    </row>
    <row r="684" spans="1:11" x14ac:dyDescent="0.25">
      <c r="A684">
        <v>683</v>
      </c>
      <c r="B684" s="2" t="str">
        <f t="shared" si="60"/>
        <v>08-04-2014</v>
      </c>
      <c r="C684" t="s">
        <v>16</v>
      </c>
      <c r="D684">
        <v>8</v>
      </c>
      <c r="E684" t="str">
        <f t="shared" si="61"/>
        <v>08</v>
      </c>
      <c r="F684">
        <v>4</v>
      </c>
      <c r="G684" t="str">
        <f t="shared" si="62"/>
        <v>04</v>
      </c>
      <c r="H684">
        <v>2014</v>
      </c>
      <c r="I684" t="str">
        <f t="shared" si="63"/>
        <v>201404</v>
      </c>
      <c r="J684" t="str">
        <f t="shared" si="65"/>
        <v>https://www.euro-millions.com/results/08-04-2014</v>
      </c>
      <c r="K684" t="str">
        <f t="shared" si="64"/>
        <v>http://lottery.merseyworld.com/Euro/archive/Lott683.html</v>
      </c>
    </row>
    <row r="685" spans="1:11" x14ac:dyDescent="0.25">
      <c r="A685">
        <v>684</v>
      </c>
      <c r="B685" s="2" t="str">
        <f t="shared" si="60"/>
        <v>11-04-2014</v>
      </c>
      <c r="C685" t="s">
        <v>10</v>
      </c>
      <c r="D685">
        <v>11</v>
      </c>
      <c r="E685" t="str">
        <f t="shared" si="61"/>
        <v>11</v>
      </c>
      <c r="F685">
        <v>4</v>
      </c>
      <c r="G685" t="str">
        <f t="shared" si="62"/>
        <v>04</v>
      </c>
      <c r="H685">
        <v>2014</v>
      </c>
      <c r="I685" t="str">
        <f t="shared" si="63"/>
        <v>201404</v>
      </c>
      <c r="J685" t="str">
        <f t="shared" si="65"/>
        <v>https://www.euro-millions.com/results/11-04-2014</v>
      </c>
      <c r="K685" t="str">
        <f t="shared" si="64"/>
        <v>http://lottery.merseyworld.com/Euro/archive/Lott684.html</v>
      </c>
    </row>
    <row r="686" spans="1:11" x14ac:dyDescent="0.25">
      <c r="A686">
        <v>685</v>
      </c>
      <c r="B686" s="2" t="str">
        <f t="shared" si="60"/>
        <v>15-04-2014</v>
      </c>
      <c r="C686" t="s">
        <v>16</v>
      </c>
      <c r="D686">
        <v>15</v>
      </c>
      <c r="E686" t="str">
        <f t="shared" si="61"/>
        <v>15</v>
      </c>
      <c r="F686">
        <v>4</v>
      </c>
      <c r="G686" t="str">
        <f t="shared" si="62"/>
        <v>04</v>
      </c>
      <c r="H686">
        <v>2014</v>
      </c>
      <c r="I686" t="str">
        <f t="shared" si="63"/>
        <v>201404</v>
      </c>
      <c r="J686" t="str">
        <f t="shared" si="65"/>
        <v>https://www.euro-millions.com/results/15-04-2014</v>
      </c>
      <c r="K686" t="str">
        <f t="shared" si="64"/>
        <v>http://lottery.merseyworld.com/Euro/archive/Lott685.html</v>
      </c>
    </row>
    <row r="687" spans="1:11" x14ac:dyDescent="0.25">
      <c r="A687">
        <v>686</v>
      </c>
      <c r="B687" s="2" t="str">
        <f t="shared" si="60"/>
        <v>18-04-2014</v>
      </c>
      <c r="C687" t="s">
        <v>10</v>
      </c>
      <c r="D687">
        <v>18</v>
      </c>
      <c r="E687" t="str">
        <f t="shared" si="61"/>
        <v>18</v>
      </c>
      <c r="F687">
        <v>4</v>
      </c>
      <c r="G687" t="str">
        <f t="shared" si="62"/>
        <v>04</v>
      </c>
      <c r="H687">
        <v>2014</v>
      </c>
      <c r="I687" t="str">
        <f t="shared" si="63"/>
        <v>201404</v>
      </c>
      <c r="J687" t="str">
        <f t="shared" si="65"/>
        <v>https://www.euro-millions.com/results/18-04-2014</v>
      </c>
      <c r="K687" t="str">
        <f t="shared" si="64"/>
        <v>http://lottery.merseyworld.com/Euro/archive/Lott686.html</v>
      </c>
    </row>
    <row r="688" spans="1:11" x14ac:dyDescent="0.25">
      <c r="A688">
        <v>687</v>
      </c>
      <c r="B688" s="2" t="str">
        <f t="shared" si="60"/>
        <v>22-04-2014</v>
      </c>
      <c r="C688" t="s">
        <v>16</v>
      </c>
      <c r="D688">
        <v>22</v>
      </c>
      <c r="E688" t="str">
        <f t="shared" si="61"/>
        <v>22</v>
      </c>
      <c r="F688">
        <v>4</v>
      </c>
      <c r="G688" t="str">
        <f t="shared" si="62"/>
        <v>04</v>
      </c>
      <c r="H688">
        <v>2014</v>
      </c>
      <c r="I688" t="str">
        <f t="shared" si="63"/>
        <v>201404</v>
      </c>
      <c r="J688" t="str">
        <f t="shared" si="65"/>
        <v>https://www.euro-millions.com/results/22-04-2014</v>
      </c>
      <c r="K688" t="str">
        <f t="shared" si="64"/>
        <v>http://lottery.merseyworld.com/Euro/archive/Lott687.html</v>
      </c>
    </row>
    <row r="689" spans="1:11" x14ac:dyDescent="0.25">
      <c r="A689">
        <v>688</v>
      </c>
      <c r="B689" s="2" t="str">
        <f t="shared" si="60"/>
        <v>25-04-2014</v>
      </c>
      <c r="C689" t="s">
        <v>10</v>
      </c>
      <c r="D689">
        <v>25</v>
      </c>
      <c r="E689" t="str">
        <f t="shared" si="61"/>
        <v>25</v>
      </c>
      <c r="F689">
        <v>4</v>
      </c>
      <c r="G689" t="str">
        <f t="shared" si="62"/>
        <v>04</v>
      </c>
      <c r="H689">
        <v>2014</v>
      </c>
      <c r="I689" t="str">
        <f t="shared" si="63"/>
        <v>201404</v>
      </c>
      <c r="J689" t="str">
        <f t="shared" si="65"/>
        <v>https://www.euro-millions.com/results/25-04-2014</v>
      </c>
      <c r="K689" t="str">
        <f t="shared" si="64"/>
        <v>http://lottery.merseyworld.com/Euro/archive/Lott688.html</v>
      </c>
    </row>
    <row r="690" spans="1:11" x14ac:dyDescent="0.25">
      <c r="A690">
        <v>689</v>
      </c>
      <c r="B690" s="2" t="str">
        <f t="shared" si="60"/>
        <v>29-04-2014</v>
      </c>
      <c r="C690" t="s">
        <v>16</v>
      </c>
      <c r="D690">
        <v>29</v>
      </c>
      <c r="E690" t="str">
        <f t="shared" si="61"/>
        <v>29</v>
      </c>
      <c r="F690">
        <v>4</v>
      </c>
      <c r="G690" t="str">
        <f t="shared" si="62"/>
        <v>04</v>
      </c>
      <c r="H690">
        <v>2014</v>
      </c>
      <c r="I690" t="str">
        <f t="shared" si="63"/>
        <v>201404</v>
      </c>
      <c r="J690" t="str">
        <f t="shared" si="65"/>
        <v>https://www.euro-millions.com/results/29-04-2014</v>
      </c>
      <c r="K690" t="str">
        <f t="shared" si="64"/>
        <v>http://lottery.merseyworld.com/Euro/archive/Lott689.html</v>
      </c>
    </row>
    <row r="691" spans="1:11" x14ac:dyDescent="0.25">
      <c r="A691">
        <v>690</v>
      </c>
      <c r="B691" s="2" t="str">
        <f t="shared" si="60"/>
        <v>02-05-2014</v>
      </c>
      <c r="C691" t="s">
        <v>10</v>
      </c>
      <c r="D691">
        <v>2</v>
      </c>
      <c r="E691" t="str">
        <f t="shared" si="61"/>
        <v>02</v>
      </c>
      <c r="F691">
        <v>5</v>
      </c>
      <c r="G691" t="str">
        <f t="shared" si="62"/>
        <v>05</v>
      </c>
      <c r="H691">
        <v>2014</v>
      </c>
      <c r="I691" t="str">
        <f t="shared" si="63"/>
        <v>201405</v>
      </c>
      <c r="J691" t="str">
        <f t="shared" si="65"/>
        <v>https://www.euro-millions.com/results/02-05-2014</v>
      </c>
      <c r="K691" t="str">
        <f t="shared" si="64"/>
        <v>http://lottery.merseyworld.com/Euro/archive/Lott690.html</v>
      </c>
    </row>
    <row r="692" spans="1:11" x14ac:dyDescent="0.25">
      <c r="A692">
        <v>691</v>
      </c>
      <c r="B692" s="2" t="str">
        <f t="shared" si="60"/>
        <v>06-05-2014</v>
      </c>
      <c r="C692" t="s">
        <v>16</v>
      </c>
      <c r="D692">
        <v>6</v>
      </c>
      <c r="E692" t="str">
        <f t="shared" si="61"/>
        <v>06</v>
      </c>
      <c r="F692">
        <v>5</v>
      </c>
      <c r="G692" t="str">
        <f t="shared" si="62"/>
        <v>05</v>
      </c>
      <c r="H692">
        <v>2014</v>
      </c>
      <c r="I692" t="str">
        <f t="shared" si="63"/>
        <v>201405</v>
      </c>
      <c r="J692" t="str">
        <f t="shared" si="65"/>
        <v>https://www.euro-millions.com/results/06-05-2014</v>
      </c>
      <c r="K692" t="str">
        <f t="shared" si="64"/>
        <v>http://lottery.merseyworld.com/Euro/archive/Lott691.html</v>
      </c>
    </row>
    <row r="693" spans="1:11" x14ac:dyDescent="0.25">
      <c r="A693">
        <v>692</v>
      </c>
      <c r="B693" s="2" t="str">
        <f t="shared" si="60"/>
        <v>09-05-2014</v>
      </c>
      <c r="C693" t="s">
        <v>10</v>
      </c>
      <c r="D693">
        <v>9</v>
      </c>
      <c r="E693" t="str">
        <f t="shared" si="61"/>
        <v>09</v>
      </c>
      <c r="F693">
        <v>5</v>
      </c>
      <c r="G693" t="str">
        <f t="shared" si="62"/>
        <v>05</v>
      </c>
      <c r="H693">
        <v>2014</v>
      </c>
      <c r="I693" t="str">
        <f t="shared" si="63"/>
        <v>201405</v>
      </c>
      <c r="J693" t="str">
        <f t="shared" si="65"/>
        <v>https://www.euro-millions.com/results/09-05-2014</v>
      </c>
      <c r="K693" t="str">
        <f t="shared" si="64"/>
        <v>http://lottery.merseyworld.com/Euro/archive/Lott692.html</v>
      </c>
    </row>
    <row r="694" spans="1:11" x14ac:dyDescent="0.25">
      <c r="A694">
        <v>693</v>
      </c>
      <c r="B694" s="2" t="str">
        <f t="shared" si="60"/>
        <v>13-05-2014</v>
      </c>
      <c r="C694" t="s">
        <v>16</v>
      </c>
      <c r="D694">
        <v>13</v>
      </c>
      <c r="E694" t="str">
        <f t="shared" si="61"/>
        <v>13</v>
      </c>
      <c r="F694">
        <v>5</v>
      </c>
      <c r="G694" t="str">
        <f t="shared" si="62"/>
        <v>05</v>
      </c>
      <c r="H694">
        <v>2014</v>
      </c>
      <c r="I694" t="str">
        <f t="shared" si="63"/>
        <v>201405</v>
      </c>
      <c r="J694" t="str">
        <f t="shared" si="65"/>
        <v>https://www.euro-millions.com/results/13-05-2014</v>
      </c>
      <c r="K694" t="str">
        <f t="shared" si="64"/>
        <v>http://lottery.merseyworld.com/Euro/archive/Lott693.html</v>
      </c>
    </row>
    <row r="695" spans="1:11" x14ac:dyDescent="0.25">
      <c r="A695">
        <v>694</v>
      </c>
      <c r="B695" s="2" t="str">
        <f t="shared" si="60"/>
        <v>16-05-2014</v>
      </c>
      <c r="C695" t="s">
        <v>10</v>
      </c>
      <c r="D695">
        <v>16</v>
      </c>
      <c r="E695" t="str">
        <f t="shared" si="61"/>
        <v>16</v>
      </c>
      <c r="F695">
        <v>5</v>
      </c>
      <c r="G695" t="str">
        <f t="shared" si="62"/>
        <v>05</v>
      </c>
      <c r="H695">
        <v>2014</v>
      </c>
      <c r="I695" t="str">
        <f t="shared" si="63"/>
        <v>201405</v>
      </c>
      <c r="J695" t="str">
        <f t="shared" si="65"/>
        <v>https://www.euro-millions.com/results/16-05-2014</v>
      </c>
      <c r="K695" t="str">
        <f t="shared" si="64"/>
        <v>http://lottery.merseyworld.com/Euro/archive/Lott694.html</v>
      </c>
    </row>
    <row r="696" spans="1:11" x14ac:dyDescent="0.25">
      <c r="A696">
        <v>695</v>
      </c>
      <c r="B696" s="2" t="str">
        <f t="shared" si="60"/>
        <v>20-05-2014</v>
      </c>
      <c r="C696" t="s">
        <v>16</v>
      </c>
      <c r="D696">
        <v>20</v>
      </c>
      <c r="E696" t="str">
        <f t="shared" si="61"/>
        <v>20</v>
      </c>
      <c r="F696">
        <v>5</v>
      </c>
      <c r="G696" t="str">
        <f t="shared" si="62"/>
        <v>05</v>
      </c>
      <c r="H696">
        <v>2014</v>
      </c>
      <c r="I696" t="str">
        <f t="shared" si="63"/>
        <v>201405</v>
      </c>
      <c r="J696" t="str">
        <f t="shared" si="65"/>
        <v>https://www.euro-millions.com/results/20-05-2014</v>
      </c>
      <c r="K696" t="str">
        <f t="shared" si="64"/>
        <v>http://lottery.merseyworld.com/Euro/archive/Lott695.html</v>
      </c>
    </row>
    <row r="697" spans="1:11" x14ac:dyDescent="0.25">
      <c r="A697">
        <v>696</v>
      </c>
      <c r="B697" s="2" t="str">
        <f t="shared" si="60"/>
        <v>23-05-2014</v>
      </c>
      <c r="C697" t="s">
        <v>10</v>
      </c>
      <c r="D697">
        <v>23</v>
      </c>
      <c r="E697" t="str">
        <f t="shared" si="61"/>
        <v>23</v>
      </c>
      <c r="F697">
        <v>5</v>
      </c>
      <c r="G697" t="str">
        <f t="shared" si="62"/>
        <v>05</v>
      </c>
      <c r="H697">
        <v>2014</v>
      </c>
      <c r="I697" t="str">
        <f t="shared" si="63"/>
        <v>201405</v>
      </c>
      <c r="J697" t="str">
        <f t="shared" si="65"/>
        <v>https://www.euro-millions.com/results/23-05-2014</v>
      </c>
      <c r="K697" t="str">
        <f t="shared" si="64"/>
        <v>http://lottery.merseyworld.com/Euro/archive/Lott696.html</v>
      </c>
    </row>
    <row r="698" spans="1:11" x14ac:dyDescent="0.25">
      <c r="A698">
        <v>697</v>
      </c>
      <c r="B698" s="2" t="str">
        <f t="shared" si="60"/>
        <v>27-05-2014</v>
      </c>
      <c r="C698" t="s">
        <v>16</v>
      </c>
      <c r="D698">
        <v>27</v>
      </c>
      <c r="E698" t="str">
        <f t="shared" si="61"/>
        <v>27</v>
      </c>
      <c r="F698">
        <v>5</v>
      </c>
      <c r="G698" t="str">
        <f t="shared" si="62"/>
        <v>05</v>
      </c>
      <c r="H698">
        <v>2014</v>
      </c>
      <c r="I698" t="str">
        <f t="shared" si="63"/>
        <v>201405</v>
      </c>
      <c r="J698" t="str">
        <f t="shared" si="65"/>
        <v>https://www.euro-millions.com/results/27-05-2014</v>
      </c>
      <c r="K698" t="str">
        <f t="shared" si="64"/>
        <v>http://lottery.merseyworld.com/Euro/archive/Lott697.html</v>
      </c>
    </row>
    <row r="699" spans="1:11" x14ac:dyDescent="0.25">
      <c r="A699">
        <v>698</v>
      </c>
      <c r="B699" s="2" t="str">
        <f t="shared" si="60"/>
        <v>30-05-2014</v>
      </c>
      <c r="C699" t="s">
        <v>10</v>
      </c>
      <c r="D699">
        <v>30</v>
      </c>
      <c r="E699" t="str">
        <f t="shared" si="61"/>
        <v>30</v>
      </c>
      <c r="F699">
        <v>5</v>
      </c>
      <c r="G699" t="str">
        <f t="shared" si="62"/>
        <v>05</v>
      </c>
      <c r="H699">
        <v>2014</v>
      </c>
      <c r="I699" t="str">
        <f t="shared" si="63"/>
        <v>201405</v>
      </c>
      <c r="J699" t="str">
        <f t="shared" si="65"/>
        <v>https://www.euro-millions.com/results/30-05-2014</v>
      </c>
      <c r="K699" t="str">
        <f t="shared" si="64"/>
        <v>http://lottery.merseyworld.com/Euro/archive/Lott698.html</v>
      </c>
    </row>
    <row r="700" spans="1:11" x14ac:dyDescent="0.25">
      <c r="A700">
        <v>699</v>
      </c>
      <c r="B700" s="2" t="str">
        <f t="shared" si="60"/>
        <v>03-06-2014</v>
      </c>
      <c r="C700" t="s">
        <v>16</v>
      </c>
      <c r="D700">
        <v>3</v>
      </c>
      <c r="E700" t="str">
        <f t="shared" si="61"/>
        <v>03</v>
      </c>
      <c r="F700">
        <v>6</v>
      </c>
      <c r="G700" t="str">
        <f t="shared" si="62"/>
        <v>06</v>
      </c>
      <c r="H700">
        <v>2014</v>
      </c>
      <c r="I700" t="str">
        <f t="shared" si="63"/>
        <v>201406</v>
      </c>
      <c r="J700" t="str">
        <f t="shared" si="65"/>
        <v>https://www.euro-millions.com/results/03-06-2014</v>
      </c>
      <c r="K700" t="str">
        <f t="shared" si="64"/>
        <v>http://lottery.merseyworld.com/Euro/archive/Lott699.html</v>
      </c>
    </row>
    <row r="701" spans="1:11" x14ac:dyDescent="0.25">
      <c r="A701">
        <v>700</v>
      </c>
      <c r="B701" s="2" t="str">
        <f t="shared" si="60"/>
        <v>06-06-2014</v>
      </c>
      <c r="C701" t="s">
        <v>10</v>
      </c>
      <c r="D701">
        <v>6</v>
      </c>
      <c r="E701" t="str">
        <f t="shared" si="61"/>
        <v>06</v>
      </c>
      <c r="F701">
        <v>6</v>
      </c>
      <c r="G701" t="str">
        <f t="shared" si="62"/>
        <v>06</v>
      </c>
      <c r="H701">
        <v>2014</v>
      </c>
      <c r="I701" t="str">
        <f t="shared" si="63"/>
        <v>201406</v>
      </c>
      <c r="J701" t="str">
        <f t="shared" si="65"/>
        <v>https://www.euro-millions.com/results/06-06-2014</v>
      </c>
      <c r="K701" t="str">
        <f t="shared" si="64"/>
        <v>http://lottery.merseyworld.com/Euro/archive/Lott700.html</v>
      </c>
    </row>
    <row r="702" spans="1:11" x14ac:dyDescent="0.25">
      <c r="A702">
        <v>701</v>
      </c>
      <c r="B702" s="2" t="str">
        <f t="shared" si="60"/>
        <v>10-06-2014</v>
      </c>
      <c r="C702" t="s">
        <v>16</v>
      </c>
      <c r="D702">
        <v>10</v>
      </c>
      <c r="E702" t="str">
        <f t="shared" si="61"/>
        <v>10</v>
      </c>
      <c r="F702">
        <v>6</v>
      </c>
      <c r="G702" t="str">
        <f t="shared" si="62"/>
        <v>06</v>
      </c>
      <c r="H702">
        <v>2014</v>
      </c>
      <c r="I702" t="str">
        <f t="shared" si="63"/>
        <v>201406</v>
      </c>
      <c r="J702" t="str">
        <f t="shared" si="65"/>
        <v>https://www.euro-millions.com/results/10-06-2014</v>
      </c>
      <c r="K702" t="str">
        <f t="shared" si="64"/>
        <v>http://lottery.merseyworld.com/Euro/archive/Lott701.html</v>
      </c>
    </row>
    <row r="703" spans="1:11" x14ac:dyDescent="0.25">
      <c r="A703">
        <v>702</v>
      </c>
      <c r="B703" s="2" t="str">
        <f t="shared" si="60"/>
        <v>13-06-2014</v>
      </c>
      <c r="C703" t="s">
        <v>10</v>
      </c>
      <c r="D703">
        <v>13</v>
      </c>
      <c r="E703" t="str">
        <f t="shared" si="61"/>
        <v>13</v>
      </c>
      <c r="F703">
        <v>6</v>
      </c>
      <c r="G703" t="str">
        <f t="shared" si="62"/>
        <v>06</v>
      </c>
      <c r="H703">
        <v>2014</v>
      </c>
      <c r="I703" t="str">
        <f t="shared" si="63"/>
        <v>201406</v>
      </c>
      <c r="J703" t="str">
        <f t="shared" si="65"/>
        <v>https://www.euro-millions.com/results/13-06-2014</v>
      </c>
      <c r="K703" t="str">
        <f t="shared" si="64"/>
        <v>http://lottery.merseyworld.com/Euro/archive/Lott702.html</v>
      </c>
    </row>
    <row r="704" spans="1:11" x14ac:dyDescent="0.25">
      <c r="A704">
        <v>703</v>
      </c>
      <c r="B704" s="2" t="str">
        <f t="shared" si="60"/>
        <v>17-06-2014</v>
      </c>
      <c r="C704" t="s">
        <v>16</v>
      </c>
      <c r="D704">
        <v>17</v>
      </c>
      <c r="E704" t="str">
        <f t="shared" si="61"/>
        <v>17</v>
      </c>
      <c r="F704">
        <v>6</v>
      </c>
      <c r="G704" t="str">
        <f t="shared" si="62"/>
        <v>06</v>
      </c>
      <c r="H704">
        <v>2014</v>
      </c>
      <c r="I704" t="str">
        <f t="shared" si="63"/>
        <v>201406</v>
      </c>
      <c r="J704" t="str">
        <f t="shared" si="65"/>
        <v>https://www.euro-millions.com/results/17-06-2014</v>
      </c>
      <c r="K704" t="str">
        <f t="shared" si="64"/>
        <v>http://lottery.merseyworld.com/Euro/archive/Lott703.html</v>
      </c>
    </row>
    <row r="705" spans="1:11" x14ac:dyDescent="0.25">
      <c r="A705">
        <v>704</v>
      </c>
      <c r="B705" s="2" t="str">
        <f t="shared" si="60"/>
        <v>20-06-2014</v>
      </c>
      <c r="C705" t="s">
        <v>10</v>
      </c>
      <c r="D705">
        <v>20</v>
      </c>
      <c r="E705" t="str">
        <f t="shared" si="61"/>
        <v>20</v>
      </c>
      <c r="F705">
        <v>6</v>
      </c>
      <c r="G705" t="str">
        <f t="shared" si="62"/>
        <v>06</v>
      </c>
      <c r="H705">
        <v>2014</v>
      </c>
      <c r="I705" t="str">
        <f t="shared" si="63"/>
        <v>201406</v>
      </c>
      <c r="J705" t="str">
        <f t="shared" si="65"/>
        <v>https://www.euro-millions.com/results/20-06-2014</v>
      </c>
      <c r="K705" t="str">
        <f t="shared" si="64"/>
        <v>http://lottery.merseyworld.com/Euro/archive/Lott704.html</v>
      </c>
    </row>
    <row r="706" spans="1:11" x14ac:dyDescent="0.25">
      <c r="A706">
        <v>705</v>
      </c>
      <c r="B706" s="2" t="str">
        <f t="shared" si="60"/>
        <v>24-06-2014</v>
      </c>
      <c r="C706" t="s">
        <v>16</v>
      </c>
      <c r="D706">
        <v>24</v>
      </c>
      <c r="E706" t="str">
        <f t="shared" si="61"/>
        <v>24</v>
      </c>
      <c r="F706">
        <v>6</v>
      </c>
      <c r="G706" t="str">
        <f t="shared" si="62"/>
        <v>06</v>
      </c>
      <c r="H706">
        <v>2014</v>
      </c>
      <c r="I706" t="str">
        <f t="shared" si="63"/>
        <v>201406</v>
      </c>
      <c r="J706" t="str">
        <f t="shared" si="65"/>
        <v>https://www.euro-millions.com/results/24-06-2014</v>
      </c>
      <c r="K706" t="str">
        <f t="shared" si="64"/>
        <v>http://lottery.merseyworld.com/Euro/archive/Lott705.html</v>
      </c>
    </row>
    <row r="707" spans="1:11" x14ac:dyDescent="0.25">
      <c r="A707">
        <v>706</v>
      </c>
      <c r="B707" s="2" t="str">
        <f t="shared" ref="B707:B770" si="66">CONCATENATE(E707,"-",G707,"-",H707)</f>
        <v>27-06-2014</v>
      </c>
      <c r="C707" t="s">
        <v>10</v>
      </c>
      <c r="D707">
        <v>27</v>
      </c>
      <c r="E707" t="str">
        <f t="shared" ref="E707:E770" si="67">CONCATENATE(IF(LEN(D707)=1,CONCATENATE("0",D707),D707))</f>
        <v>27</v>
      </c>
      <c r="F707">
        <v>6</v>
      </c>
      <c r="G707" t="str">
        <f t="shared" ref="G707:G770" si="68">CONCATENATE(IF(LEN(F707)=1,CONCATENATE("0",F707),F707))</f>
        <v>06</v>
      </c>
      <c r="H707">
        <v>2014</v>
      </c>
      <c r="I707" t="str">
        <f t="shared" ref="I707:I770" si="69">CONCATENATE(H707,IF(LEN(F707)=1,CONCATENATE("0",F707),F707))</f>
        <v>201406</v>
      </c>
      <c r="J707" t="str">
        <f t="shared" si="65"/>
        <v>https://www.euro-millions.com/results/27-06-2014</v>
      </c>
      <c r="K707" t="str">
        <f t="shared" ref="K707:K770" si="70">CONCATENATE("http://lottery.merseyworld.com/Euro/archive/Lott",RIGHT(CONCATENATE("00",A707),3),".html")</f>
        <v>http://lottery.merseyworld.com/Euro/archive/Lott706.html</v>
      </c>
    </row>
    <row r="708" spans="1:11" x14ac:dyDescent="0.25">
      <c r="A708">
        <v>707</v>
      </c>
      <c r="B708" s="2" t="str">
        <f t="shared" si="66"/>
        <v>01-07-2014</v>
      </c>
      <c r="C708" t="s">
        <v>16</v>
      </c>
      <c r="D708">
        <v>1</v>
      </c>
      <c r="E708" t="str">
        <f t="shared" si="67"/>
        <v>01</v>
      </c>
      <c r="F708">
        <v>7</v>
      </c>
      <c r="G708" t="str">
        <f t="shared" si="68"/>
        <v>07</v>
      </c>
      <c r="H708">
        <v>2014</v>
      </c>
      <c r="I708" t="str">
        <f t="shared" si="69"/>
        <v>201407</v>
      </c>
      <c r="J708" t="str">
        <f t="shared" si="65"/>
        <v>https://www.euro-millions.com/results/01-07-2014</v>
      </c>
      <c r="K708" t="str">
        <f t="shared" si="70"/>
        <v>http://lottery.merseyworld.com/Euro/archive/Lott707.html</v>
      </c>
    </row>
    <row r="709" spans="1:11" x14ac:dyDescent="0.25">
      <c r="A709">
        <v>708</v>
      </c>
      <c r="B709" s="2" t="str">
        <f t="shared" si="66"/>
        <v>04-07-2014</v>
      </c>
      <c r="C709" t="s">
        <v>10</v>
      </c>
      <c r="D709">
        <v>4</v>
      </c>
      <c r="E709" t="str">
        <f t="shared" si="67"/>
        <v>04</v>
      </c>
      <c r="F709">
        <v>7</v>
      </c>
      <c r="G709" t="str">
        <f t="shared" si="68"/>
        <v>07</v>
      </c>
      <c r="H709">
        <v>2014</v>
      </c>
      <c r="I709" t="str">
        <f t="shared" si="69"/>
        <v>201407</v>
      </c>
      <c r="J709" t="str">
        <f t="shared" si="65"/>
        <v>https://www.euro-millions.com/results/04-07-2014</v>
      </c>
      <c r="K709" t="str">
        <f t="shared" si="70"/>
        <v>http://lottery.merseyworld.com/Euro/archive/Lott708.html</v>
      </c>
    </row>
    <row r="710" spans="1:11" x14ac:dyDescent="0.25">
      <c r="A710">
        <v>709</v>
      </c>
      <c r="B710" s="2" t="str">
        <f t="shared" si="66"/>
        <v>08-07-2014</v>
      </c>
      <c r="C710" t="s">
        <v>16</v>
      </c>
      <c r="D710">
        <v>8</v>
      </c>
      <c r="E710" t="str">
        <f t="shared" si="67"/>
        <v>08</v>
      </c>
      <c r="F710">
        <v>7</v>
      </c>
      <c r="G710" t="str">
        <f t="shared" si="68"/>
        <v>07</v>
      </c>
      <c r="H710">
        <v>2014</v>
      </c>
      <c r="I710" t="str">
        <f t="shared" si="69"/>
        <v>201407</v>
      </c>
      <c r="J710" t="str">
        <f t="shared" si="65"/>
        <v>https://www.euro-millions.com/results/08-07-2014</v>
      </c>
      <c r="K710" t="str">
        <f t="shared" si="70"/>
        <v>http://lottery.merseyworld.com/Euro/archive/Lott709.html</v>
      </c>
    </row>
    <row r="711" spans="1:11" x14ac:dyDescent="0.25">
      <c r="A711">
        <v>710</v>
      </c>
      <c r="B711" s="2" t="str">
        <f t="shared" si="66"/>
        <v>11-07-2014</v>
      </c>
      <c r="C711" t="s">
        <v>10</v>
      </c>
      <c r="D711">
        <v>11</v>
      </c>
      <c r="E711" t="str">
        <f t="shared" si="67"/>
        <v>11</v>
      </c>
      <c r="F711">
        <v>7</v>
      </c>
      <c r="G711" t="str">
        <f t="shared" si="68"/>
        <v>07</v>
      </c>
      <c r="H711">
        <v>2014</v>
      </c>
      <c r="I711" t="str">
        <f t="shared" si="69"/>
        <v>201407</v>
      </c>
      <c r="J711" t="str">
        <f t="shared" si="65"/>
        <v>https://www.euro-millions.com/results/11-07-2014</v>
      </c>
      <c r="K711" t="str">
        <f t="shared" si="70"/>
        <v>http://lottery.merseyworld.com/Euro/archive/Lott710.html</v>
      </c>
    </row>
    <row r="712" spans="1:11" x14ac:dyDescent="0.25">
      <c r="A712">
        <v>711</v>
      </c>
      <c r="B712" s="2" t="str">
        <f t="shared" si="66"/>
        <v>15-07-2014</v>
      </c>
      <c r="C712" t="s">
        <v>16</v>
      </c>
      <c r="D712">
        <v>15</v>
      </c>
      <c r="E712" t="str">
        <f t="shared" si="67"/>
        <v>15</v>
      </c>
      <c r="F712">
        <v>7</v>
      </c>
      <c r="G712" t="str">
        <f t="shared" si="68"/>
        <v>07</v>
      </c>
      <c r="H712">
        <v>2014</v>
      </c>
      <c r="I712" t="str">
        <f t="shared" si="69"/>
        <v>201407</v>
      </c>
      <c r="J712" t="str">
        <f t="shared" ref="J712:J775" si="71">CONCATENATE("https://www.euro-millions.com/results/",E712,"-",G712,"-",H712)</f>
        <v>https://www.euro-millions.com/results/15-07-2014</v>
      </c>
      <c r="K712" t="str">
        <f t="shared" si="70"/>
        <v>http://lottery.merseyworld.com/Euro/archive/Lott711.html</v>
      </c>
    </row>
    <row r="713" spans="1:11" x14ac:dyDescent="0.25">
      <c r="A713">
        <v>712</v>
      </c>
      <c r="B713" s="2" t="str">
        <f t="shared" si="66"/>
        <v>18-07-2014</v>
      </c>
      <c r="C713" t="s">
        <v>10</v>
      </c>
      <c r="D713">
        <v>18</v>
      </c>
      <c r="E713" t="str">
        <f t="shared" si="67"/>
        <v>18</v>
      </c>
      <c r="F713">
        <v>7</v>
      </c>
      <c r="G713" t="str">
        <f t="shared" si="68"/>
        <v>07</v>
      </c>
      <c r="H713">
        <v>2014</v>
      </c>
      <c r="I713" t="str">
        <f t="shared" si="69"/>
        <v>201407</v>
      </c>
      <c r="J713" t="str">
        <f t="shared" si="71"/>
        <v>https://www.euro-millions.com/results/18-07-2014</v>
      </c>
      <c r="K713" t="str">
        <f t="shared" si="70"/>
        <v>http://lottery.merseyworld.com/Euro/archive/Lott712.html</v>
      </c>
    </row>
    <row r="714" spans="1:11" x14ac:dyDescent="0.25">
      <c r="A714">
        <v>713</v>
      </c>
      <c r="B714" s="2" t="str">
        <f t="shared" si="66"/>
        <v>22-07-2014</v>
      </c>
      <c r="C714" t="s">
        <v>16</v>
      </c>
      <c r="D714">
        <v>22</v>
      </c>
      <c r="E714" t="str">
        <f t="shared" si="67"/>
        <v>22</v>
      </c>
      <c r="F714">
        <v>7</v>
      </c>
      <c r="G714" t="str">
        <f t="shared" si="68"/>
        <v>07</v>
      </c>
      <c r="H714">
        <v>2014</v>
      </c>
      <c r="I714" t="str">
        <f t="shared" si="69"/>
        <v>201407</v>
      </c>
      <c r="J714" t="str">
        <f t="shared" si="71"/>
        <v>https://www.euro-millions.com/results/22-07-2014</v>
      </c>
      <c r="K714" t="str">
        <f t="shared" si="70"/>
        <v>http://lottery.merseyworld.com/Euro/archive/Lott713.html</v>
      </c>
    </row>
    <row r="715" spans="1:11" x14ac:dyDescent="0.25">
      <c r="A715">
        <v>714</v>
      </c>
      <c r="B715" s="2" t="str">
        <f t="shared" si="66"/>
        <v>25-07-2014</v>
      </c>
      <c r="C715" t="s">
        <v>10</v>
      </c>
      <c r="D715">
        <v>25</v>
      </c>
      <c r="E715" t="str">
        <f t="shared" si="67"/>
        <v>25</v>
      </c>
      <c r="F715">
        <v>7</v>
      </c>
      <c r="G715" t="str">
        <f t="shared" si="68"/>
        <v>07</v>
      </c>
      <c r="H715">
        <v>2014</v>
      </c>
      <c r="I715" t="str">
        <f t="shared" si="69"/>
        <v>201407</v>
      </c>
      <c r="J715" t="str">
        <f t="shared" si="71"/>
        <v>https://www.euro-millions.com/results/25-07-2014</v>
      </c>
      <c r="K715" t="str">
        <f t="shared" si="70"/>
        <v>http://lottery.merseyworld.com/Euro/archive/Lott714.html</v>
      </c>
    </row>
    <row r="716" spans="1:11" x14ac:dyDescent="0.25">
      <c r="A716">
        <v>715</v>
      </c>
      <c r="B716" s="2" t="str">
        <f t="shared" si="66"/>
        <v>29-07-2014</v>
      </c>
      <c r="C716" t="s">
        <v>16</v>
      </c>
      <c r="D716">
        <v>29</v>
      </c>
      <c r="E716" t="str">
        <f t="shared" si="67"/>
        <v>29</v>
      </c>
      <c r="F716">
        <v>7</v>
      </c>
      <c r="G716" t="str">
        <f t="shared" si="68"/>
        <v>07</v>
      </c>
      <c r="H716">
        <v>2014</v>
      </c>
      <c r="I716" t="str">
        <f t="shared" si="69"/>
        <v>201407</v>
      </c>
      <c r="J716" t="str">
        <f t="shared" si="71"/>
        <v>https://www.euro-millions.com/results/29-07-2014</v>
      </c>
      <c r="K716" t="str">
        <f t="shared" si="70"/>
        <v>http://lottery.merseyworld.com/Euro/archive/Lott715.html</v>
      </c>
    </row>
    <row r="717" spans="1:11" x14ac:dyDescent="0.25">
      <c r="A717">
        <v>716</v>
      </c>
      <c r="B717" s="2" t="str">
        <f t="shared" si="66"/>
        <v>01-08-2014</v>
      </c>
      <c r="C717" t="s">
        <v>10</v>
      </c>
      <c r="D717">
        <v>1</v>
      </c>
      <c r="E717" t="str">
        <f t="shared" si="67"/>
        <v>01</v>
      </c>
      <c r="F717">
        <v>8</v>
      </c>
      <c r="G717" t="str">
        <f t="shared" si="68"/>
        <v>08</v>
      </c>
      <c r="H717">
        <v>2014</v>
      </c>
      <c r="I717" t="str">
        <f t="shared" si="69"/>
        <v>201408</v>
      </c>
      <c r="J717" t="str">
        <f t="shared" si="71"/>
        <v>https://www.euro-millions.com/results/01-08-2014</v>
      </c>
      <c r="K717" t="str">
        <f t="shared" si="70"/>
        <v>http://lottery.merseyworld.com/Euro/archive/Lott716.html</v>
      </c>
    </row>
    <row r="718" spans="1:11" x14ac:dyDescent="0.25">
      <c r="A718">
        <v>717</v>
      </c>
      <c r="B718" s="2" t="str">
        <f t="shared" si="66"/>
        <v>05-08-2014</v>
      </c>
      <c r="C718" t="s">
        <v>16</v>
      </c>
      <c r="D718">
        <v>5</v>
      </c>
      <c r="E718" t="str">
        <f t="shared" si="67"/>
        <v>05</v>
      </c>
      <c r="F718">
        <v>8</v>
      </c>
      <c r="G718" t="str">
        <f t="shared" si="68"/>
        <v>08</v>
      </c>
      <c r="H718">
        <v>2014</v>
      </c>
      <c r="I718" t="str">
        <f t="shared" si="69"/>
        <v>201408</v>
      </c>
      <c r="J718" t="str">
        <f t="shared" si="71"/>
        <v>https://www.euro-millions.com/results/05-08-2014</v>
      </c>
      <c r="K718" t="str">
        <f t="shared" si="70"/>
        <v>http://lottery.merseyworld.com/Euro/archive/Lott717.html</v>
      </c>
    </row>
    <row r="719" spans="1:11" x14ac:dyDescent="0.25">
      <c r="A719">
        <v>718</v>
      </c>
      <c r="B719" s="2" t="str">
        <f t="shared" si="66"/>
        <v>08-08-2014</v>
      </c>
      <c r="C719" t="s">
        <v>10</v>
      </c>
      <c r="D719">
        <v>8</v>
      </c>
      <c r="E719" t="str">
        <f t="shared" si="67"/>
        <v>08</v>
      </c>
      <c r="F719">
        <v>8</v>
      </c>
      <c r="G719" t="str">
        <f t="shared" si="68"/>
        <v>08</v>
      </c>
      <c r="H719">
        <v>2014</v>
      </c>
      <c r="I719" t="str">
        <f t="shared" si="69"/>
        <v>201408</v>
      </c>
      <c r="J719" t="str">
        <f t="shared" si="71"/>
        <v>https://www.euro-millions.com/results/08-08-2014</v>
      </c>
      <c r="K719" t="str">
        <f t="shared" si="70"/>
        <v>http://lottery.merseyworld.com/Euro/archive/Lott718.html</v>
      </c>
    </row>
    <row r="720" spans="1:11" x14ac:dyDescent="0.25">
      <c r="A720">
        <v>719</v>
      </c>
      <c r="B720" s="2" t="str">
        <f t="shared" si="66"/>
        <v>12-08-2014</v>
      </c>
      <c r="C720" t="s">
        <v>16</v>
      </c>
      <c r="D720">
        <v>12</v>
      </c>
      <c r="E720" t="str">
        <f t="shared" si="67"/>
        <v>12</v>
      </c>
      <c r="F720">
        <v>8</v>
      </c>
      <c r="G720" t="str">
        <f t="shared" si="68"/>
        <v>08</v>
      </c>
      <c r="H720">
        <v>2014</v>
      </c>
      <c r="I720" t="str">
        <f t="shared" si="69"/>
        <v>201408</v>
      </c>
      <c r="J720" t="str">
        <f t="shared" si="71"/>
        <v>https://www.euro-millions.com/results/12-08-2014</v>
      </c>
      <c r="K720" t="str">
        <f t="shared" si="70"/>
        <v>http://lottery.merseyworld.com/Euro/archive/Lott719.html</v>
      </c>
    </row>
    <row r="721" spans="1:11" x14ac:dyDescent="0.25">
      <c r="A721">
        <v>720</v>
      </c>
      <c r="B721" s="2" t="str">
        <f t="shared" si="66"/>
        <v>15-08-2014</v>
      </c>
      <c r="C721" t="s">
        <v>10</v>
      </c>
      <c r="D721">
        <v>15</v>
      </c>
      <c r="E721" t="str">
        <f t="shared" si="67"/>
        <v>15</v>
      </c>
      <c r="F721">
        <v>8</v>
      </c>
      <c r="G721" t="str">
        <f t="shared" si="68"/>
        <v>08</v>
      </c>
      <c r="H721">
        <v>2014</v>
      </c>
      <c r="I721" t="str">
        <f t="shared" si="69"/>
        <v>201408</v>
      </c>
      <c r="J721" t="str">
        <f t="shared" si="71"/>
        <v>https://www.euro-millions.com/results/15-08-2014</v>
      </c>
      <c r="K721" t="str">
        <f t="shared" si="70"/>
        <v>http://lottery.merseyworld.com/Euro/archive/Lott720.html</v>
      </c>
    </row>
    <row r="722" spans="1:11" x14ac:dyDescent="0.25">
      <c r="A722">
        <v>721</v>
      </c>
      <c r="B722" s="2" t="str">
        <f t="shared" si="66"/>
        <v>19-08-2014</v>
      </c>
      <c r="C722" t="s">
        <v>16</v>
      </c>
      <c r="D722">
        <v>19</v>
      </c>
      <c r="E722" t="str">
        <f t="shared" si="67"/>
        <v>19</v>
      </c>
      <c r="F722">
        <v>8</v>
      </c>
      <c r="G722" t="str">
        <f t="shared" si="68"/>
        <v>08</v>
      </c>
      <c r="H722">
        <v>2014</v>
      </c>
      <c r="I722" t="str">
        <f t="shared" si="69"/>
        <v>201408</v>
      </c>
      <c r="J722" t="str">
        <f t="shared" si="71"/>
        <v>https://www.euro-millions.com/results/19-08-2014</v>
      </c>
      <c r="K722" t="str">
        <f t="shared" si="70"/>
        <v>http://lottery.merseyworld.com/Euro/archive/Lott721.html</v>
      </c>
    </row>
    <row r="723" spans="1:11" x14ac:dyDescent="0.25">
      <c r="A723">
        <v>722</v>
      </c>
      <c r="B723" s="2" t="str">
        <f t="shared" si="66"/>
        <v>22-08-2014</v>
      </c>
      <c r="C723" t="s">
        <v>10</v>
      </c>
      <c r="D723">
        <v>22</v>
      </c>
      <c r="E723" t="str">
        <f t="shared" si="67"/>
        <v>22</v>
      </c>
      <c r="F723">
        <v>8</v>
      </c>
      <c r="G723" t="str">
        <f t="shared" si="68"/>
        <v>08</v>
      </c>
      <c r="H723">
        <v>2014</v>
      </c>
      <c r="I723" t="str">
        <f t="shared" si="69"/>
        <v>201408</v>
      </c>
      <c r="J723" t="str">
        <f t="shared" si="71"/>
        <v>https://www.euro-millions.com/results/22-08-2014</v>
      </c>
      <c r="K723" t="str">
        <f t="shared" si="70"/>
        <v>http://lottery.merseyworld.com/Euro/archive/Lott722.html</v>
      </c>
    </row>
    <row r="724" spans="1:11" x14ac:dyDescent="0.25">
      <c r="A724">
        <v>723</v>
      </c>
      <c r="B724" s="2" t="str">
        <f t="shared" si="66"/>
        <v>26-08-2014</v>
      </c>
      <c r="C724" t="s">
        <v>16</v>
      </c>
      <c r="D724">
        <v>26</v>
      </c>
      <c r="E724" t="str">
        <f t="shared" si="67"/>
        <v>26</v>
      </c>
      <c r="F724">
        <v>8</v>
      </c>
      <c r="G724" t="str">
        <f t="shared" si="68"/>
        <v>08</v>
      </c>
      <c r="H724">
        <v>2014</v>
      </c>
      <c r="I724" t="str">
        <f t="shared" si="69"/>
        <v>201408</v>
      </c>
      <c r="J724" t="str">
        <f t="shared" si="71"/>
        <v>https://www.euro-millions.com/results/26-08-2014</v>
      </c>
      <c r="K724" t="str">
        <f t="shared" si="70"/>
        <v>http://lottery.merseyworld.com/Euro/archive/Lott723.html</v>
      </c>
    </row>
    <row r="725" spans="1:11" x14ac:dyDescent="0.25">
      <c r="A725">
        <v>724</v>
      </c>
      <c r="B725" s="2" t="str">
        <f t="shared" si="66"/>
        <v>29-08-2014</v>
      </c>
      <c r="C725" t="s">
        <v>10</v>
      </c>
      <c r="D725">
        <v>29</v>
      </c>
      <c r="E725" t="str">
        <f t="shared" si="67"/>
        <v>29</v>
      </c>
      <c r="F725">
        <v>8</v>
      </c>
      <c r="G725" t="str">
        <f t="shared" si="68"/>
        <v>08</v>
      </c>
      <c r="H725">
        <v>2014</v>
      </c>
      <c r="I725" t="str">
        <f t="shared" si="69"/>
        <v>201408</v>
      </c>
      <c r="J725" t="str">
        <f t="shared" si="71"/>
        <v>https://www.euro-millions.com/results/29-08-2014</v>
      </c>
      <c r="K725" t="str">
        <f t="shared" si="70"/>
        <v>http://lottery.merseyworld.com/Euro/archive/Lott724.html</v>
      </c>
    </row>
    <row r="726" spans="1:11" x14ac:dyDescent="0.25">
      <c r="A726">
        <v>725</v>
      </c>
      <c r="B726" s="2" t="str">
        <f t="shared" si="66"/>
        <v>02-09-2014</v>
      </c>
      <c r="C726" t="s">
        <v>16</v>
      </c>
      <c r="D726">
        <v>2</v>
      </c>
      <c r="E726" t="str">
        <f t="shared" si="67"/>
        <v>02</v>
      </c>
      <c r="F726">
        <v>9</v>
      </c>
      <c r="G726" t="str">
        <f t="shared" si="68"/>
        <v>09</v>
      </c>
      <c r="H726">
        <v>2014</v>
      </c>
      <c r="I726" t="str">
        <f t="shared" si="69"/>
        <v>201409</v>
      </c>
      <c r="J726" t="str">
        <f t="shared" si="71"/>
        <v>https://www.euro-millions.com/results/02-09-2014</v>
      </c>
      <c r="K726" t="str">
        <f t="shared" si="70"/>
        <v>http://lottery.merseyworld.com/Euro/archive/Lott725.html</v>
      </c>
    </row>
    <row r="727" spans="1:11" x14ac:dyDescent="0.25">
      <c r="A727">
        <v>726</v>
      </c>
      <c r="B727" s="2" t="str">
        <f t="shared" si="66"/>
        <v>05-09-2014</v>
      </c>
      <c r="C727" t="s">
        <v>10</v>
      </c>
      <c r="D727">
        <v>5</v>
      </c>
      <c r="E727" t="str">
        <f t="shared" si="67"/>
        <v>05</v>
      </c>
      <c r="F727">
        <v>9</v>
      </c>
      <c r="G727" t="str">
        <f t="shared" si="68"/>
        <v>09</v>
      </c>
      <c r="H727">
        <v>2014</v>
      </c>
      <c r="I727" t="str">
        <f t="shared" si="69"/>
        <v>201409</v>
      </c>
      <c r="J727" t="str">
        <f t="shared" si="71"/>
        <v>https://www.euro-millions.com/results/05-09-2014</v>
      </c>
      <c r="K727" t="str">
        <f t="shared" si="70"/>
        <v>http://lottery.merseyworld.com/Euro/archive/Lott726.html</v>
      </c>
    </row>
    <row r="728" spans="1:11" x14ac:dyDescent="0.25">
      <c r="A728">
        <v>727</v>
      </c>
      <c r="B728" s="2" t="str">
        <f t="shared" si="66"/>
        <v>09-09-2014</v>
      </c>
      <c r="C728" t="s">
        <v>16</v>
      </c>
      <c r="D728">
        <v>9</v>
      </c>
      <c r="E728" t="str">
        <f t="shared" si="67"/>
        <v>09</v>
      </c>
      <c r="F728">
        <v>9</v>
      </c>
      <c r="G728" t="str">
        <f t="shared" si="68"/>
        <v>09</v>
      </c>
      <c r="H728">
        <v>2014</v>
      </c>
      <c r="I728" t="str">
        <f t="shared" si="69"/>
        <v>201409</v>
      </c>
      <c r="J728" t="str">
        <f t="shared" si="71"/>
        <v>https://www.euro-millions.com/results/09-09-2014</v>
      </c>
      <c r="K728" t="str">
        <f t="shared" si="70"/>
        <v>http://lottery.merseyworld.com/Euro/archive/Lott727.html</v>
      </c>
    </row>
    <row r="729" spans="1:11" x14ac:dyDescent="0.25">
      <c r="A729">
        <v>728</v>
      </c>
      <c r="B729" s="2" t="str">
        <f t="shared" si="66"/>
        <v>12-09-2014</v>
      </c>
      <c r="C729" t="s">
        <v>10</v>
      </c>
      <c r="D729">
        <v>12</v>
      </c>
      <c r="E729" t="str">
        <f t="shared" si="67"/>
        <v>12</v>
      </c>
      <c r="F729">
        <v>9</v>
      </c>
      <c r="G729" t="str">
        <f t="shared" si="68"/>
        <v>09</v>
      </c>
      <c r="H729">
        <v>2014</v>
      </c>
      <c r="I729" t="str">
        <f t="shared" si="69"/>
        <v>201409</v>
      </c>
      <c r="J729" t="str">
        <f t="shared" si="71"/>
        <v>https://www.euro-millions.com/results/12-09-2014</v>
      </c>
      <c r="K729" t="str">
        <f t="shared" si="70"/>
        <v>http://lottery.merseyworld.com/Euro/archive/Lott728.html</v>
      </c>
    </row>
    <row r="730" spans="1:11" x14ac:dyDescent="0.25">
      <c r="A730">
        <v>729</v>
      </c>
      <c r="B730" s="2" t="str">
        <f t="shared" si="66"/>
        <v>16-09-2014</v>
      </c>
      <c r="C730" t="s">
        <v>16</v>
      </c>
      <c r="D730">
        <v>16</v>
      </c>
      <c r="E730" t="str">
        <f t="shared" si="67"/>
        <v>16</v>
      </c>
      <c r="F730">
        <v>9</v>
      </c>
      <c r="G730" t="str">
        <f t="shared" si="68"/>
        <v>09</v>
      </c>
      <c r="H730">
        <v>2014</v>
      </c>
      <c r="I730" t="str">
        <f t="shared" si="69"/>
        <v>201409</v>
      </c>
      <c r="J730" t="str">
        <f t="shared" si="71"/>
        <v>https://www.euro-millions.com/results/16-09-2014</v>
      </c>
      <c r="K730" t="str">
        <f t="shared" si="70"/>
        <v>http://lottery.merseyworld.com/Euro/archive/Lott729.html</v>
      </c>
    </row>
    <row r="731" spans="1:11" x14ac:dyDescent="0.25">
      <c r="A731">
        <v>730</v>
      </c>
      <c r="B731" s="2" t="str">
        <f t="shared" si="66"/>
        <v>19-09-2014</v>
      </c>
      <c r="C731" t="s">
        <v>10</v>
      </c>
      <c r="D731">
        <v>19</v>
      </c>
      <c r="E731" t="str">
        <f t="shared" si="67"/>
        <v>19</v>
      </c>
      <c r="F731">
        <v>9</v>
      </c>
      <c r="G731" t="str">
        <f t="shared" si="68"/>
        <v>09</v>
      </c>
      <c r="H731">
        <v>2014</v>
      </c>
      <c r="I731" t="str">
        <f t="shared" si="69"/>
        <v>201409</v>
      </c>
      <c r="J731" t="str">
        <f t="shared" si="71"/>
        <v>https://www.euro-millions.com/results/19-09-2014</v>
      </c>
      <c r="K731" t="str">
        <f t="shared" si="70"/>
        <v>http://lottery.merseyworld.com/Euro/archive/Lott730.html</v>
      </c>
    </row>
    <row r="732" spans="1:11" x14ac:dyDescent="0.25">
      <c r="A732">
        <v>731</v>
      </c>
      <c r="B732" s="2" t="str">
        <f t="shared" si="66"/>
        <v>23-09-2014</v>
      </c>
      <c r="C732" t="s">
        <v>16</v>
      </c>
      <c r="D732">
        <v>23</v>
      </c>
      <c r="E732" t="str">
        <f t="shared" si="67"/>
        <v>23</v>
      </c>
      <c r="F732">
        <v>9</v>
      </c>
      <c r="G732" t="str">
        <f t="shared" si="68"/>
        <v>09</v>
      </c>
      <c r="H732">
        <v>2014</v>
      </c>
      <c r="I732" t="str">
        <f t="shared" si="69"/>
        <v>201409</v>
      </c>
      <c r="J732" t="str">
        <f t="shared" si="71"/>
        <v>https://www.euro-millions.com/results/23-09-2014</v>
      </c>
      <c r="K732" t="str">
        <f t="shared" si="70"/>
        <v>http://lottery.merseyworld.com/Euro/archive/Lott731.html</v>
      </c>
    </row>
    <row r="733" spans="1:11" x14ac:dyDescent="0.25">
      <c r="A733">
        <v>732</v>
      </c>
      <c r="B733" s="2" t="str">
        <f t="shared" si="66"/>
        <v>26-09-2014</v>
      </c>
      <c r="C733" t="s">
        <v>10</v>
      </c>
      <c r="D733">
        <v>26</v>
      </c>
      <c r="E733" t="str">
        <f t="shared" si="67"/>
        <v>26</v>
      </c>
      <c r="F733">
        <v>9</v>
      </c>
      <c r="G733" t="str">
        <f t="shared" si="68"/>
        <v>09</v>
      </c>
      <c r="H733">
        <v>2014</v>
      </c>
      <c r="I733" t="str">
        <f t="shared" si="69"/>
        <v>201409</v>
      </c>
      <c r="J733" t="str">
        <f t="shared" si="71"/>
        <v>https://www.euro-millions.com/results/26-09-2014</v>
      </c>
      <c r="K733" t="str">
        <f t="shared" si="70"/>
        <v>http://lottery.merseyworld.com/Euro/archive/Lott732.html</v>
      </c>
    </row>
    <row r="734" spans="1:11" x14ac:dyDescent="0.25">
      <c r="A734">
        <v>733</v>
      </c>
      <c r="B734" s="2" t="str">
        <f t="shared" si="66"/>
        <v>30-09-2014</v>
      </c>
      <c r="C734" t="s">
        <v>16</v>
      </c>
      <c r="D734">
        <v>30</v>
      </c>
      <c r="E734" t="str">
        <f t="shared" si="67"/>
        <v>30</v>
      </c>
      <c r="F734">
        <v>9</v>
      </c>
      <c r="G734" t="str">
        <f t="shared" si="68"/>
        <v>09</v>
      </c>
      <c r="H734">
        <v>2014</v>
      </c>
      <c r="I734" t="str">
        <f t="shared" si="69"/>
        <v>201409</v>
      </c>
      <c r="J734" t="str">
        <f t="shared" si="71"/>
        <v>https://www.euro-millions.com/results/30-09-2014</v>
      </c>
      <c r="K734" t="str">
        <f t="shared" si="70"/>
        <v>http://lottery.merseyworld.com/Euro/archive/Lott733.html</v>
      </c>
    </row>
    <row r="735" spans="1:11" x14ac:dyDescent="0.25">
      <c r="A735">
        <v>734</v>
      </c>
      <c r="B735" s="2" t="str">
        <f t="shared" si="66"/>
        <v>03-10-2014</v>
      </c>
      <c r="C735" t="s">
        <v>10</v>
      </c>
      <c r="D735">
        <v>3</v>
      </c>
      <c r="E735" t="str">
        <f t="shared" si="67"/>
        <v>03</v>
      </c>
      <c r="F735">
        <v>10</v>
      </c>
      <c r="G735" t="str">
        <f t="shared" si="68"/>
        <v>10</v>
      </c>
      <c r="H735">
        <v>2014</v>
      </c>
      <c r="I735" t="str">
        <f t="shared" si="69"/>
        <v>201410</v>
      </c>
      <c r="J735" t="str">
        <f t="shared" si="71"/>
        <v>https://www.euro-millions.com/results/03-10-2014</v>
      </c>
      <c r="K735" t="str">
        <f t="shared" si="70"/>
        <v>http://lottery.merseyworld.com/Euro/archive/Lott734.html</v>
      </c>
    </row>
    <row r="736" spans="1:11" x14ac:dyDescent="0.25">
      <c r="A736">
        <v>735</v>
      </c>
      <c r="B736" s="2" t="str">
        <f t="shared" si="66"/>
        <v>07-10-2014</v>
      </c>
      <c r="C736" t="s">
        <v>16</v>
      </c>
      <c r="D736">
        <v>7</v>
      </c>
      <c r="E736" t="str">
        <f t="shared" si="67"/>
        <v>07</v>
      </c>
      <c r="F736">
        <v>10</v>
      </c>
      <c r="G736" t="str">
        <f t="shared" si="68"/>
        <v>10</v>
      </c>
      <c r="H736">
        <v>2014</v>
      </c>
      <c r="I736" t="str">
        <f t="shared" si="69"/>
        <v>201410</v>
      </c>
      <c r="J736" t="str">
        <f t="shared" si="71"/>
        <v>https://www.euro-millions.com/results/07-10-2014</v>
      </c>
      <c r="K736" t="str">
        <f t="shared" si="70"/>
        <v>http://lottery.merseyworld.com/Euro/archive/Lott735.html</v>
      </c>
    </row>
    <row r="737" spans="1:11" x14ac:dyDescent="0.25">
      <c r="A737">
        <v>736</v>
      </c>
      <c r="B737" s="2" t="str">
        <f t="shared" si="66"/>
        <v>10-10-2014</v>
      </c>
      <c r="C737" t="s">
        <v>10</v>
      </c>
      <c r="D737">
        <v>10</v>
      </c>
      <c r="E737" t="str">
        <f t="shared" si="67"/>
        <v>10</v>
      </c>
      <c r="F737">
        <v>10</v>
      </c>
      <c r="G737" t="str">
        <f t="shared" si="68"/>
        <v>10</v>
      </c>
      <c r="H737">
        <v>2014</v>
      </c>
      <c r="I737" t="str">
        <f t="shared" si="69"/>
        <v>201410</v>
      </c>
      <c r="J737" t="str">
        <f t="shared" si="71"/>
        <v>https://www.euro-millions.com/results/10-10-2014</v>
      </c>
      <c r="K737" t="str">
        <f t="shared" si="70"/>
        <v>http://lottery.merseyworld.com/Euro/archive/Lott736.html</v>
      </c>
    </row>
    <row r="738" spans="1:11" x14ac:dyDescent="0.25">
      <c r="A738">
        <v>737</v>
      </c>
      <c r="B738" s="2" t="str">
        <f t="shared" si="66"/>
        <v>14-10-2014</v>
      </c>
      <c r="C738" t="s">
        <v>16</v>
      </c>
      <c r="D738">
        <v>14</v>
      </c>
      <c r="E738" t="str">
        <f t="shared" si="67"/>
        <v>14</v>
      </c>
      <c r="F738">
        <v>10</v>
      </c>
      <c r="G738" t="str">
        <f t="shared" si="68"/>
        <v>10</v>
      </c>
      <c r="H738">
        <v>2014</v>
      </c>
      <c r="I738" t="str">
        <f t="shared" si="69"/>
        <v>201410</v>
      </c>
      <c r="J738" t="str">
        <f t="shared" si="71"/>
        <v>https://www.euro-millions.com/results/14-10-2014</v>
      </c>
      <c r="K738" t="str">
        <f t="shared" si="70"/>
        <v>http://lottery.merseyworld.com/Euro/archive/Lott737.html</v>
      </c>
    </row>
    <row r="739" spans="1:11" x14ac:dyDescent="0.25">
      <c r="A739">
        <v>738</v>
      </c>
      <c r="B739" s="2" t="str">
        <f t="shared" si="66"/>
        <v>17-10-2014</v>
      </c>
      <c r="C739" t="s">
        <v>10</v>
      </c>
      <c r="D739">
        <v>17</v>
      </c>
      <c r="E739" t="str">
        <f t="shared" si="67"/>
        <v>17</v>
      </c>
      <c r="F739">
        <v>10</v>
      </c>
      <c r="G739" t="str">
        <f t="shared" si="68"/>
        <v>10</v>
      </c>
      <c r="H739">
        <v>2014</v>
      </c>
      <c r="I739" t="str">
        <f t="shared" si="69"/>
        <v>201410</v>
      </c>
      <c r="J739" t="str">
        <f t="shared" si="71"/>
        <v>https://www.euro-millions.com/results/17-10-2014</v>
      </c>
      <c r="K739" t="str">
        <f t="shared" si="70"/>
        <v>http://lottery.merseyworld.com/Euro/archive/Lott738.html</v>
      </c>
    </row>
    <row r="740" spans="1:11" x14ac:dyDescent="0.25">
      <c r="A740">
        <v>739</v>
      </c>
      <c r="B740" s="2" t="str">
        <f t="shared" si="66"/>
        <v>21-10-2014</v>
      </c>
      <c r="C740" t="s">
        <v>16</v>
      </c>
      <c r="D740">
        <v>21</v>
      </c>
      <c r="E740" t="str">
        <f t="shared" si="67"/>
        <v>21</v>
      </c>
      <c r="F740">
        <v>10</v>
      </c>
      <c r="G740" t="str">
        <f t="shared" si="68"/>
        <v>10</v>
      </c>
      <c r="H740">
        <v>2014</v>
      </c>
      <c r="I740" t="str">
        <f t="shared" si="69"/>
        <v>201410</v>
      </c>
      <c r="J740" t="str">
        <f t="shared" si="71"/>
        <v>https://www.euro-millions.com/results/21-10-2014</v>
      </c>
      <c r="K740" t="str">
        <f t="shared" si="70"/>
        <v>http://lottery.merseyworld.com/Euro/archive/Lott739.html</v>
      </c>
    </row>
    <row r="741" spans="1:11" x14ac:dyDescent="0.25">
      <c r="A741">
        <v>740</v>
      </c>
      <c r="B741" s="2" t="str">
        <f t="shared" si="66"/>
        <v>24-10-2014</v>
      </c>
      <c r="C741" t="s">
        <v>10</v>
      </c>
      <c r="D741">
        <v>24</v>
      </c>
      <c r="E741" t="str">
        <f t="shared" si="67"/>
        <v>24</v>
      </c>
      <c r="F741">
        <v>10</v>
      </c>
      <c r="G741" t="str">
        <f t="shared" si="68"/>
        <v>10</v>
      </c>
      <c r="H741">
        <v>2014</v>
      </c>
      <c r="I741" t="str">
        <f t="shared" si="69"/>
        <v>201410</v>
      </c>
      <c r="J741" t="str">
        <f t="shared" si="71"/>
        <v>https://www.euro-millions.com/results/24-10-2014</v>
      </c>
      <c r="K741" t="str">
        <f t="shared" si="70"/>
        <v>http://lottery.merseyworld.com/Euro/archive/Lott740.html</v>
      </c>
    </row>
    <row r="742" spans="1:11" x14ac:dyDescent="0.25">
      <c r="A742">
        <v>741</v>
      </c>
      <c r="B742" s="2" t="str">
        <f t="shared" si="66"/>
        <v>28-10-2014</v>
      </c>
      <c r="C742" t="s">
        <v>16</v>
      </c>
      <c r="D742">
        <v>28</v>
      </c>
      <c r="E742" t="str">
        <f t="shared" si="67"/>
        <v>28</v>
      </c>
      <c r="F742">
        <v>10</v>
      </c>
      <c r="G742" t="str">
        <f t="shared" si="68"/>
        <v>10</v>
      </c>
      <c r="H742">
        <v>2014</v>
      </c>
      <c r="I742" t="str">
        <f t="shared" si="69"/>
        <v>201410</v>
      </c>
      <c r="J742" t="str">
        <f t="shared" si="71"/>
        <v>https://www.euro-millions.com/results/28-10-2014</v>
      </c>
      <c r="K742" t="str">
        <f t="shared" si="70"/>
        <v>http://lottery.merseyworld.com/Euro/archive/Lott741.html</v>
      </c>
    </row>
    <row r="743" spans="1:11" x14ac:dyDescent="0.25">
      <c r="A743">
        <v>742</v>
      </c>
      <c r="B743" s="2" t="str">
        <f t="shared" si="66"/>
        <v>31-10-2014</v>
      </c>
      <c r="C743" t="s">
        <v>10</v>
      </c>
      <c r="D743">
        <v>31</v>
      </c>
      <c r="E743" t="str">
        <f t="shared" si="67"/>
        <v>31</v>
      </c>
      <c r="F743">
        <v>10</v>
      </c>
      <c r="G743" t="str">
        <f t="shared" si="68"/>
        <v>10</v>
      </c>
      <c r="H743">
        <v>2014</v>
      </c>
      <c r="I743" t="str">
        <f t="shared" si="69"/>
        <v>201410</v>
      </c>
      <c r="J743" t="str">
        <f t="shared" si="71"/>
        <v>https://www.euro-millions.com/results/31-10-2014</v>
      </c>
      <c r="K743" t="str">
        <f t="shared" si="70"/>
        <v>http://lottery.merseyworld.com/Euro/archive/Lott742.html</v>
      </c>
    </row>
    <row r="744" spans="1:11" x14ac:dyDescent="0.25">
      <c r="A744">
        <v>743</v>
      </c>
      <c r="B744" s="2" t="str">
        <f t="shared" si="66"/>
        <v>04-11-2014</v>
      </c>
      <c r="C744" t="s">
        <v>16</v>
      </c>
      <c r="D744">
        <v>4</v>
      </c>
      <c r="E744" t="str">
        <f t="shared" si="67"/>
        <v>04</v>
      </c>
      <c r="F744">
        <v>11</v>
      </c>
      <c r="G744" t="str">
        <f t="shared" si="68"/>
        <v>11</v>
      </c>
      <c r="H744">
        <v>2014</v>
      </c>
      <c r="I744" t="str">
        <f t="shared" si="69"/>
        <v>201411</v>
      </c>
      <c r="J744" t="str">
        <f t="shared" si="71"/>
        <v>https://www.euro-millions.com/results/04-11-2014</v>
      </c>
      <c r="K744" t="str">
        <f t="shared" si="70"/>
        <v>http://lottery.merseyworld.com/Euro/archive/Lott743.html</v>
      </c>
    </row>
    <row r="745" spans="1:11" x14ac:dyDescent="0.25">
      <c r="A745">
        <v>744</v>
      </c>
      <c r="B745" s="2" t="str">
        <f t="shared" si="66"/>
        <v>07-11-2014</v>
      </c>
      <c r="C745" t="s">
        <v>10</v>
      </c>
      <c r="D745">
        <v>7</v>
      </c>
      <c r="E745" t="str">
        <f t="shared" si="67"/>
        <v>07</v>
      </c>
      <c r="F745">
        <v>11</v>
      </c>
      <c r="G745" t="str">
        <f t="shared" si="68"/>
        <v>11</v>
      </c>
      <c r="H745">
        <v>2014</v>
      </c>
      <c r="I745" t="str">
        <f t="shared" si="69"/>
        <v>201411</v>
      </c>
      <c r="J745" t="str">
        <f t="shared" si="71"/>
        <v>https://www.euro-millions.com/results/07-11-2014</v>
      </c>
      <c r="K745" t="str">
        <f t="shared" si="70"/>
        <v>http://lottery.merseyworld.com/Euro/archive/Lott744.html</v>
      </c>
    </row>
    <row r="746" spans="1:11" x14ac:dyDescent="0.25">
      <c r="A746">
        <v>745</v>
      </c>
      <c r="B746" s="2" t="str">
        <f t="shared" si="66"/>
        <v>11-11-2014</v>
      </c>
      <c r="C746" t="s">
        <v>16</v>
      </c>
      <c r="D746">
        <v>11</v>
      </c>
      <c r="E746" t="str">
        <f t="shared" si="67"/>
        <v>11</v>
      </c>
      <c r="F746">
        <v>11</v>
      </c>
      <c r="G746" t="str">
        <f t="shared" si="68"/>
        <v>11</v>
      </c>
      <c r="H746">
        <v>2014</v>
      </c>
      <c r="I746" t="str">
        <f t="shared" si="69"/>
        <v>201411</v>
      </c>
      <c r="J746" t="str">
        <f t="shared" si="71"/>
        <v>https://www.euro-millions.com/results/11-11-2014</v>
      </c>
      <c r="K746" t="str">
        <f t="shared" si="70"/>
        <v>http://lottery.merseyworld.com/Euro/archive/Lott745.html</v>
      </c>
    </row>
    <row r="747" spans="1:11" x14ac:dyDescent="0.25">
      <c r="A747">
        <v>746</v>
      </c>
      <c r="B747" s="2" t="str">
        <f t="shared" si="66"/>
        <v>14-11-2014</v>
      </c>
      <c r="C747" t="s">
        <v>10</v>
      </c>
      <c r="D747">
        <v>14</v>
      </c>
      <c r="E747" t="str">
        <f t="shared" si="67"/>
        <v>14</v>
      </c>
      <c r="F747">
        <v>11</v>
      </c>
      <c r="G747" t="str">
        <f t="shared" si="68"/>
        <v>11</v>
      </c>
      <c r="H747">
        <v>2014</v>
      </c>
      <c r="I747" t="str">
        <f t="shared" si="69"/>
        <v>201411</v>
      </c>
      <c r="J747" t="str">
        <f t="shared" si="71"/>
        <v>https://www.euro-millions.com/results/14-11-2014</v>
      </c>
      <c r="K747" t="str">
        <f t="shared" si="70"/>
        <v>http://lottery.merseyworld.com/Euro/archive/Lott746.html</v>
      </c>
    </row>
    <row r="748" spans="1:11" x14ac:dyDescent="0.25">
      <c r="A748">
        <v>747</v>
      </c>
      <c r="B748" s="2" t="str">
        <f t="shared" si="66"/>
        <v>18-11-2014</v>
      </c>
      <c r="C748" t="s">
        <v>16</v>
      </c>
      <c r="D748">
        <v>18</v>
      </c>
      <c r="E748" t="str">
        <f t="shared" si="67"/>
        <v>18</v>
      </c>
      <c r="F748">
        <v>11</v>
      </c>
      <c r="G748" t="str">
        <f t="shared" si="68"/>
        <v>11</v>
      </c>
      <c r="H748">
        <v>2014</v>
      </c>
      <c r="I748" t="str">
        <f t="shared" si="69"/>
        <v>201411</v>
      </c>
      <c r="J748" t="str">
        <f t="shared" si="71"/>
        <v>https://www.euro-millions.com/results/18-11-2014</v>
      </c>
      <c r="K748" t="str">
        <f t="shared" si="70"/>
        <v>http://lottery.merseyworld.com/Euro/archive/Lott747.html</v>
      </c>
    </row>
    <row r="749" spans="1:11" x14ac:dyDescent="0.25">
      <c r="A749">
        <v>748</v>
      </c>
      <c r="B749" s="2" t="str">
        <f t="shared" si="66"/>
        <v>21-11-2014</v>
      </c>
      <c r="C749" t="s">
        <v>10</v>
      </c>
      <c r="D749">
        <v>21</v>
      </c>
      <c r="E749" t="str">
        <f t="shared" si="67"/>
        <v>21</v>
      </c>
      <c r="F749">
        <v>11</v>
      </c>
      <c r="G749" t="str">
        <f t="shared" si="68"/>
        <v>11</v>
      </c>
      <c r="H749">
        <v>2014</v>
      </c>
      <c r="I749" t="str">
        <f t="shared" si="69"/>
        <v>201411</v>
      </c>
      <c r="J749" t="str">
        <f t="shared" si="71"/>
        <v>https://www.euro-millions.com/results/21-11-2014</v>
      </c>
      <c r="K749" t="str">
        <f t="shared" si="70"/>
        <v>http://lottery.merseyworld.com/Euro/archive/Lott748.html</v>
      </c>
    </row>
    <row r="750" spans="1:11" x14ac:dyDescent="0.25">
      <c r="A750">
        <v>749</v>
      </c>
      <c r="B750" s="2" t="str">
        <f t="shared" si="66"/>
        <v>25-11-2014</v>
      </c>
      <c r="C750" t="s">
        <v>16</v>
      </c>
      <c r="D750">
        <v>25</v>
      </c>
      <c r="E750" t="str">
        <f t="shared" si="67"/>
        <v>25</v>
      </c>
      <c r="F750">
        <v>11</v>
      </c>
      <c r="G750" t="str">
        <f t="shared" si="68"/>
        <v>11</v>
      </c>
      <c r="H750">
        <v>2014</v>
      </c>
      <c r="I750" t="str">
        <f t="shared" si="69"/>
        <v>201411</v>
      </c>
      <c r="J750" t="str">
        <f t="shared" si="71"/>
        <v>https://www.euro-millions.com/results/25-11-2014</v>
      </c>
      <c r="K750" t="str">
        <f t="shared" si="70"/>
        <v>http://lottery.merseyworld.com/Euro/archive/Lott749.html</v>
      </c>
    </row>
    <row r="751" spans="1:11" x14ac:dyDescent="0.25">
      <c r="A751">
        <v>750</v>
      </c>
      <c r="B751" s="2" t="str">
        <f t="shared" si="66"/>
        <v>28-11-2014</v>
      </c>
      <c r="C751" t="s">
        <v>10</v>
      </c>
      <c r="D751">
        <v>28</v>
      </c>
      <c r="E751" t="str">
        <f t="shared" si="67"/>
        <v>28</v>
      </c>
      <c r="F751">
        <v>11</v>
      </c>
      <c r="G751" t="str">
        <f t="shared" si="68"/>
        <v>11</v>
      </c>
      <c r="H751">
        <v>2014</v>
      </c>
      <c r="I751" t="str">
        <f t="shared" si="69"/>
        <v>201411</v>
      </c>
      <c r="J751" t="str">
        <f t="shared" si="71"/>
        <v>https://www.euro-millions.com/results/28-11-2014</v>
      </c>
      <c r="K751" t="str">
        <f t="shared" si="70"/>
        <v>http://lottery.merseyworld.com/Euro/archive/Lott750.html</v>
      </c>
    </row>
    <row r="752" spans="1:11" x14ac:dyDescent="0.25">
      <c r="A752">
        <v>751</v>
      </c>
      <c r="B752" s="2" t="str">
        <f t="shared" si="66"/>
        <v>02-12-2014</v>
      </c>
      <c r="C752" t="s">
        <v>16</v>
      </c>
      <c r="D752">
        <v>2</v>
      </c>
      <c r="E752" t="str">
        <f t="shared" si="67"/>
        <v>02</v>
      </c>
      <c r="F752">
        <v>12</v>
      </c>
      <c r="G752" t="str">
        <f t="shared" si="68"/>
        <v>12</v>
      </c>
      <c r="H752">
        <v>2014</v>
      </c>
      <c r="I752" t="str">
        <f t="shared" si="69"/>
        <v>201412</v>
      </c>
      <c r="J752" t="str">
        <f t="shared" si="71"/>
        <v>https://www.euro-millions.com/results/02-12-2014</v>
      </c>
      <c r="K752" t="str">
        <f t="shared" si="70"/>
        <v>http://lottery.merseyworld.com/Euro/archive/Lott751.html</v>
      </c>
    </row>
    <row r="753" spans="1:11" x14ac:dyDescent="0.25">
      <c r="A753">
        <v>752</v>
      </c>
      <c r="B753" s="2" t="str">
        <f t="shared" si="66"/>
        <v>05-12-2014</v>
      </c>
      <c r="C753" t="s">
        <v>10</v>
      </c>
      <c r="D753">
        <v>5</v>
      </c>
      <c r="E753" t="str">
        <f t="shared" si="67"/>
        <v>05</v>
      </c>
      <c r="F753">
        <v>12</v>
      </c>
      <c r="G753" t="str">
        <f t="shared" si="68"/>
        <v>12</v>
      </c>
      <c r="H753">
        <v>2014</v>
      </c>
      <c r="I753" t="str">
        <f t="shared" si="69"/>
        <v>201412</v>
      </c>
      <c r="J753" t="str">
        <f t="shared" si="71"/>
        <v>https://www.euro-millions.com/results/05-12-2014</v>
      </c>
      <c r="K753" t="str">
        <f t="shared" si="70"/>
        <v>http://lottery.merseyworld.com/Euro/archive/Lott752.html</v>
      </c>
    </row>
    <row r="754" spans="1:11" x14ac:dyDescent="0.25">
      <c r="A754">
        <v>753</v>
      </c>
      <c r="B754" s="2" t="str">
        <f t="shared" si="66"/>
        <v>09-12-2014</v>
      </c>
      <c r="C754" t="s">
        <v>16</v>
      </c>
      <c r="D754">
        <v>9</v>
      </c>
      <c r="E754" t="str">
        <f t="shared" si="67"/>
        <v>09</v>
      </c>
      <c r="F754">
        <v>12</v>
      </c>
      <c r="G754" t="str">
        <f t="shared" si="68"/>
        <v>12</v>
      </c>
      <c r="H754">
        <v>2014</v>
      </c>
      <c r="I754" t="str">
        <f t="shared" si="69"/>
        <v>201412</v>
      </c>
      <c r="J754" t="str">
        <f t="shared" si="71"/>
        <v>https://www.euro-millions.com/results/09-12-2014</v>
      </c>
      <c r="K754" t="str">
        <f t="shared" si="70"/>
        <v>http://lottery.merseyworld.com/Euro/archive/Lott753.html</v>
      </c>
    </row>
    <row r="755" spans="1:11" x14ac:dyDescent="0.25">
      <c r="A755">
        <v>754</v>
      </c>
      <c r="B755" s="2" t="str">
        <f t="shared" si="66"/>
        <v>12-12-2014</v>
      </c>
      <c r="C755" t="s">
        <v>10</v>
      </c>
      <c r="D755">
        <v>12</v>
      </c>
      <c r="E755" t="str">
        <f t="shared" si="67"/>
        <v>12</v>
      </c>
      <c r="F755">
        <v>12</v>
      </c>
      <c r="G755" t="str">
        <f t="shared" si="68"/>
        <v>12</v>
      </c>
      <c r="H755">
        <v>2014</v>
      </c>
      <c r="I755" t="str">
        <f t="shared" si="69"/>
        <v>201412</v>
      </c>
      <c r="J755" t="str">
        <f t="shared" si="71"/>
        <v>https://www.euro-millions.com/results/12-12-2014</v>
      </c>
      <c r="K755" t="str">
        <f t="shared" si="70"/>
        <v>http://lottery.merseyworld.com/Euro/archive/Lott754.html</v>
      </c>
    </row>
    <row r="756" spans="1:11" x14ac:dyDescent="0.25">
      <c r="A756">
        <v>755</v>
      </c>
      <c r="B756" s="2" t="str">
        <f t="shared" si="66"/>
        <v>16-12-2014</v>
      </c>
      <c r="C756" t="s">
        <v>16</v>
      </c>
      <c r="D756">
        <v>16</v>
      </c>
      <c r="E756" t="str">
        <f t="shared" si="67"/>
        <v>16</v>
      </c>
      <c r="F756">
        <v>12</v>
      </c>
      <c r="G756" t="str">
        <f t="shared" si="68"/>
        <v>12</v>
      </c>
      <c r="H756">
        <v>2014</v>
      </c>
      <c r="I756" t="str">
        <f t="shared" si="69"/>
        <v>201412</v>
      </c>
      <c r="J756" t="str">
        <f t="shared" si="71"/>
        <v>https://www.euro-millions.com/results/16-12-2014</v>
      </c>
      <c r="K756" t="str">
        <f t="shared" si="70"/>
        <v>http://lottery.merseyworld.com/Euro/archive/Lott755.html</v>
      </c>
    </row>
    <row r="757" spans="1:11" x14ac:dyDescent="0.25">
      <c r="A757">
        <v>756</v>
      </c>
      <c r="B757" s="2" t="str">
        <f t="shared" si="66"/>
        <v>19-12-2014</v>
      </c>
      <c r="C757" t="s">
        <v>10</v>
      </c>
      <c r="D757">
        <v>19</v>
      </c>
      <c r="E757" t="str">
        <f t="shared" si="67"/>
        <v>19</v>
      </c>
      <c r="F757">
        <v>12</v>
      </c>
      <c r="G757" t="str">
        <f t="shared" si="68"/>
        <v>12</v>
      </c>
      <c r="H757">
        <v>2014</v>
      </c>
      <c r="I757" t="str">
        <f t="shared" si="69"/>
        <v>201412</v>
      </c>
      <c r="J757" t="str">
        <f t="shared" si="71"/>
        <v>https://www.euro-millions.com/results/19-12-2014</v>
      </c>
      <c r="K757" t="str">
        <f t="shared" si="70"/>
        <v>http://lottery.merseyworld.com/Euro/archive/Lott756.html</v>
      </c>
    </row>
    <row r="758" spans="1:11" x14ac:dyDescent="0.25">
      <c r="A758">
        <v>757</v>
      </c>
      <c r="B758" s="2" t="str">
        <f t="shared" si="66"/>
        <v>23-12-2014</v>
      </c>
      <c r="C758" t="s">
        <v>16</v>
      </c>
      <c r="D758">
        <v>23</v>
      </c>
      <c r="E758" t="str">
        <f t="shared" si="67"/>
        <v>23</v>
      </c>
      <c r="F758">
        <v>12</v>
      </c>
      <c r="G758" t="str">
        <f t="shared" si="68"/>
        <v>12</v>
      </c>
      <c r="H758">
        <v>2014</v>
      </c>
      <c r="I758" t="str">
        <f t="shared" si="69"/>
        <v>201412</v>
      </c>
      <c r="J758" t="str">
        <f t="shared" si="71"/>
        <v>https://www.euro-millions.com/results/23-12-2014</v>
      </c>
      <c r="K758" t="str">
        <f t="shared" si="70"/>
        <v>http://lottery.merseyworld.com/Euro/archive/Lott757.html</v>
      </c>
    </row>
    <row r="759" spans="1:11" x14ac:dyDescent="0.25">
      <c r="A759">
        <v>758</v>
      </c>
      <c r="B759" s="2" t="str">
        <f t="shared" si="66"/>
        <v>26-12-2014</v>
      </c>
      <c r="C759" t="s">
        <v>10</v>
      </c>
      <c r="D759">
        <v>26</v>
      </c>
      <c r="E759" t="str">
        <f t="shared" si="67"/>
        <v>26</v>
      </c>
      <c r="F759">
        <v>12</v>
      </c>
      <c r="G759" t="str">
        <f t="shared" si="68"/>
        <v>12</v>
      </c>
      <c r="H759">
        <v>2014</v>
      </c>
      <c r="I759" t="str">
        <f t="shared" si="69"/>
        <v>201412</v>
      </c>
      <c r="J759" t="str">
        <f t="shared" si="71"/>
        <v>https://www.euro-millions.com/results/26-12-2014</v>
      </c>
      <c r="K759" t="str">
        <f t="shared" si="70"/>
        <v>http://lottery.merseyworld.com/Euro/archive/Lott758.html</v>
      </c>
    </row>
    <row r="760" spans="1:11" x14ac:dyDescent="0.25">
      <c r="A760">
        <v>759</v>
      </c>
      <c r="B760" s="2" t="str">
        <f t="shared" si="66"/>
        <v>30-12-2014</v>
      </c>
      <c r="C760" t="s">
        <v>16</v>
      </c>
      <c r="D760">
        <v>30</v>
      </c>
      <c r="E760" t="str">
        <f t="shared" si="67"/>
        <v>30</v>
      </c>
      <c r="F760">
        <v>12</v>
      </c>
      <c r="G760" t="str">
        <f t="shared" si="68"/>
        <v>12</v>
      </c>
      <c r="H760">
        <v>2014</v>
      </c>
      <c r="I760" t="str">
        <f t="shared" si="69"/>
        <v>201412</v>
      </c>
      <c r="J760" t="str">
        <f t="shared" si="71"/>
        <v>https://www.euro-millions.com/results/30-12-2014</v>
      </c>
      <c r="K760" t="str">
        <f t="shared" si="70"/>
        <v>http://lottery.merseyworld.com/Euro/archive/Lott759.html</v>
      </c>
    </row>
    <row r="761" spans="1:11" x14ac:dyDescent="0.25">
      <c r="A761">
        <v>760</v>
      </c>
      <c r="B761" s="2" t="str">
        <f t="shared" si="66"/>
        <v>02-01-2015</v>
      </c>
      <c r="C761" t="s">
        <v>10</v>
      </c>
      <c r="D761">
        <v>2</v>
      </c>
      <c r="E761" t="str">
        <f t="shared" si="67"/>
        <v>02</v>
      </c>
      <c r="F761">
        <v>1</v>
      </c>
      <c r="G761" t="str">
        <f t="shared" si="68"/>
        <v>01</v>
      </c>
      <c r="H761">
        <v>2015</v>
      </c>
      <c r="I761" t="str">
        <f t="shared" si="69"/>
        <v>201501</v>
      </c>
      <c r="J761" t="str">
        <f t="shared" si="71"/>
        <v>https://www.euro-millions.com/results/02-01-2015</v>
      </c>
      <c r="K761" t="str">
        <f t="shared" si="70"/>
        <v>http://lottery.merseyworld.com/Euro/archive/Lott760.html</v>
      </c>
    </row>
    <row r="762" spans="1:11" x14ac:dyDescent="0.25">
      <c r="A762">
        <v>761</v>
      </c>
      <c r="B762" s="2" t="str">
        <f t="shared" si="66"/>
        <v>06-01-2015</v>
      </c>
      <c r="C762" t="s">
        <v>16</v>
      </c>
      <c r="D762">
        <v>6</v>
      </c>
      <c r="E762" t="str">
        <f t="shared" si="67"/>
        <v>06</v>
      </c>
      <c r="F762">
        <v>1</v>
      </c>
      <c r="G762" t="str">
        <f t="shared" si="68"/>
        <v>01</v>
      </c>
      <c r="H762">
        <v>2015</v>
      </c>
      <c r="I762" t="str">
        <f t="shared" si="69"/>
        <v>201501</v>
      </c>
      <c r="J762" t="str">
        <f t="shared" si="71"/>
        <v>https://www.euro-millions.com/results/06-01-2015</v>
      </c>
      <c r="K762" t="str">
        <f t="shared" si="70"/>
        <v>http://lottery.merseyworld.com/Euro/archive/Lott761.html</v>
      </c>
    </row>
    <row r="763" spans="1:11" x14ac:dyDescent="0.25">
      <c r="A763">
        <v>762</v>
      </c>
      <c r="B763" s="2" t="str">
        <f t="shared" si="66"/>
        <v>09-01-2015</v>
      </c>
      <c r="C763" t="s">
        <v>10</v>
      </c>
      <c r="D763">
        <v>9</v>
      </c>
      <c r="E763" t="str">
        <f t="shared" si="67"/>
        <v>09</v>
      </c>
      <c r="F763">
        <v>1</v>
      </c>
      <c r="G763" t="str">
        <f t="shared" si="68"/>
        <v>01</v>
      </c>
      <c r="H763">
        <v>2015</v>
      </c>
      <c r="I763" t="str">
        <f t="shared" si="69"/>
        <v>201501</v>
      </c>
      <c r="J763" t="str">
        <f t="shared" si="71"/>
        <v>https://www.euro-millions.com/results/09-01-2015</v>
      </c>
      <c r="K763" t="str">
        <f t="shared" si="70"/>
        <v>http://lottery.merseyworld.com/Euro/archive/Lott762.html</v>
      </c>
    </row>
    <row r="764" spans="1:11" x14ac:dyDescent="0.25">
      <c r="A764">
        <v>763</v>
      </c>
      <c r="B764" s="2" t="str">
        <f t="shared" si="66"/>
        <v>13-01-2015</v>
      </c>
      <c r="C764" t="s">
        <v>16</v>
      </c>
      <c r="D764">
        <v>13</v>
      </c>
      <c r="E764" t="str">
        <f t="shared" si="67"/>
        <v>13</v>
      </c>
      <c r="F764">
        <v>1</v>
      </c>
      <c r="G764" t="str">
        <f t="shared" si="68"/>
        <v>01</v>
      </c>
      <c r="H764">
        <v>2015</v>
      </c>
      <c r="I764" t="str">
        <f t="shared" si="69"/>
        <v>201501</v>
      </c>
      <c r="J764" t="str">
        <f t="shared" si="71"/>
        <v>https://www.euro-millions.com/results/13-01-2015</v>
      </c>
      <c r="K764" t="str">
        <f t="shared" si="70"/>
        <v>http://lottery.merseyworld.com/Euro/archive/Lott763.html</v>
      </c>
    </row>
    <row r="765" spans="1:11" x14ac:dyDescent="0.25">
      <c r="A765">
        <v>764</v>
      </c>
      <c r="B765" s="2" t="str">
        <f t="shared" si="66"/>
        <v>16-01-2015</v>
      </c>
      <c r="C765" t="s">
        <v>10</v>
      </c>
      <c r="D765">
        <v>16</v>
      </c>
      <c r="E765" t="str">
        <f t="shared" si="67"/>
        <v>16</v>
      </c>
      <c r="F765">
        <v>1</v>
      </c>
      <c r="G765" t="str">
        <f t="shared" si="68"/>
        <v>01</v>
      </c>
      <c r="H765">
        <v>2015</v>
      </c>
      <c r="I765" t="str">
        <f t="shared" si="69"/>
        <v>201501</v>
      </c>
      <c r="J765" t="str">
        <f t="shared" si="71"/>
        <v>https://www.euro-millions.com/results/16-01-2015</v>
      </c>
      <c r="K765" t="str">
        <f t="shared" si="70"/>
        <v>http://lottery.merseyworld.com/Euro/archive/Lott764.html</v>
      </c>
    </row>
    <row r="766" spans="1:11" x14ac:dyDescent="0.25">
      <c r="A766">
        <v>765</v>
      </c>
      <c r="B766" s="2" t="str">
        <f t="shared" si="66"/>
        <v>20-01-2015</v>
      </c>
      <c r="C766" t="s">
        <v>16</v>
      </c>
      <c r="D766">
        <v>20</v>
      </c>
      <c r="E766" t="str">
        <f t="shared" si="67"/>
        <v>20</v>
      </c>
      <c r="F766">
        <v>1</v>
      </c>
      <c r="G766" t="str">
        <f t="shared" si="68"/>
        <v>01</v>
      </c>
      <c r="H766">
        <v>2015</v>
      </c>
      <c r="I766" t="str">
        <f t="shared" si="69"/>
        <v>201501</v>
      </c>
      <c r="J766" t="str">
        <f t="shared" si="71"/>
        <v>https://www.euro-millions.com/results/20-01-2015</v>
      </c>
      <c r="K766" t="str">
        <f t="shared" si="70"/>
        <v>http://lottery.merseyworld.com/Euro/archive/Lott765.html</v>
      </c>
    </row>
    <row r="767" spans="1:11" x14ac:dyDescent="0.25">
      <c r="A767">
        <v>766</v>
      </c>
      <c r="B767" s="2" t="str">
        <f t="shared" si="66"/>
        <v>23-01-2015</v>
      </c>
      <c r="C767" t="s">
        <v>10</v>
      </c>
      <c r="D767">
        <v>23</v>
      </c>
      <c r="E767" t="str">
        <f t="shared" si="67"/>
        <v>23</v>
      </c>
      <c r="F767">
        <v>1</v>
      </c>
      <c r="G767" t="str">
        <f t="shared" si="68"/>
        <v>01</v>
      </c>
      <c r="H767">
        <v>2015</v>
      </c>
      <c r="I767" t="str">
        <f t="shared" si="69"/>
        <v>201501</v>
      </c>
      <c r="J767" t="str">
        <f t="shared" si="71"/>
        <v>https://www.euro-millions.com/results/23-01-2015</v>
      </c>
      <c r="K767" t="str">
        <f t="shared" si="70"/>
        <v>http://lottery.merseyworld.com/Euro/archive/Lott766.html</v>
      </c>
    </row>
    <row r="768" spans="1:11" x14ac:dyDescent="0.25">
      <c r="A768">
        <v>767</v>
      </c>
      <c r="B768" s="2" t="str">
        <f t="shared" si="66"/>
        <v>27-01-2015</v>
      </c>
      <c r="C768" t="s">
        <v>16</v>
      </c>
      <c r="D768">
        <v>27</v>
      </c>
      <c r="E768" t="str">
        <f t="shared" si="67"/>
        <v>27</v>
      </c>
      <c r="F768">
        <v>1</v>
      </c>
      <c r="G768" t="str">
        <f t="shared" si="68"/>
        <v>01</v>
      </c>
      <c r="H768">
        <v>2015</v>
      </c>
      <c r="I768" t="str">
        <f t="shared" si="69"/>
        <v>201501</v>
      </c>
      <c r="J768" t="str">
        <f t="shared" si="71"/>
        <v>https://www.euro-millions.com/results/27-01-2015</v>
      </c>
      <c r="K768" t="str">
        <f t="shared" si="70"/>
        <v>http://lottery.merseyworld.com/Euro/archive/Lott767.html</v>
      </c>
    </row>
    <row r="769" spans="1:11" x14ac:dyDescent="0.25">
      <c r="A769">
        <v>768</v>
      </c>
      <c r="B769" s="2" t="str">
        <f t="shared" si="66"/>
        <v>30-01-2015</v>
      </c>
      <c r="C769" t="s">
        <v>10</v>
      </c>
      <c r="D769">
        <v>30</v>
      </c>
      <c r="E769" t="str">
        <f t="shared" si="67"/>
        <v>30</v>
      </c>
      <c r="F769">
        <v>1</v>
      </c>
      <c r="G769" t="str">
        <f t="shared" si="68"/>
        <v>01</v>
      </c>
      <c r="H769">
        <v>2015</v>
      </c>
      <c r="I769" t="str">
        <f t="shared" si="69"/>
        <v>201501</v>
      </c>
      <c r="J769" t="str">
        <f t="shared" si="71"/>
        <v>https://www.euro-millions.com/results/30-01-2015</v>
      </c>
      <c r="K769" t="str">
        <f t="shared" si="70"/>
        <v>http://lottery.merseyworld.com/Euro/archive/Lott768.html</v>
      </c>
    </row>
    <row r="770" spans="1:11" x14ac:dyDescent="0.25">
      <c r="A770">
        <v>769</v>
      </c>
      <c r="B770" s="2" t="str">
        <f t="shared" si="66"/>
        <v>03-02-2015</v>
      </c>
      <c r="C770" t="s">
        <v>16</v>
      </c>
      <c r="D770">
        <v>3</v>
      </c>
      <c r="E770" t="str">
        <f t="shared" si="67"/>
        <v>03</v>
      </c>
      <c r="F770">
        <v>2</v>
      </c>
      <c r="G770" t="str">
        <f t="shared" si="68"/>
        <v>02</v>
      </c>
      <c r="H770">
        <v>2015</v>
      </c>
      <c r="I770" t="str">
        <f t="shared" si="69"/>
        <v>201502</v>
      </c>
      <c r="J770" t="str">
        <f t="shared" si="71"/>
        <v>https://www.euro-millions.com/results/03-02-2015</v>
      </c>
      <c r="K770" t="str">
        <f t="shared" si="70"/>
        <v>http://lottery.merseyworld.com/Euro/archive/Lott769.html</v>
      </c>
    </row>
    <row r="771" spans="1:11" x14ac:dyDescent="0.25">
      <c r="A771">
        <v>770</v>
      </c>
      <c r="B771" s="2" t="str">
        <f t="shared" ref="B771:B834" si="72">CONCATENATE(E771,"-",G771,"-",H771)</f>
        <v>06-02-2015</v>
      </c>
      <c r="C771" t="s">
        <v>10</v>
      </c>
      <c r="D771">
        <v>6</v>
      </c>
      <c r="E771" t="str">
        <f t="shared" ref="E771:E834" si="73">CONCATENATE(IF(LEN(D771)=1,CONCATENATE("0",D771),D771))</f>
        <v>06</v>
      </c>
      <c r="F771">
        <v>2</v>
      </c>
      <c r="G771" t="str">
        <f t="shared" ref="G771:G834" si="74">CONCATENATE(IF(LEN(F771)=1,CONCATENATE("0",F771),F771))</f>
        <v>02</v>
      </c>
      <c r="H771">
        <v>2015</v>
      </c>
      <c r="I771" t="str">
        <f t="shared" ref="I771:I834" si="75">CONCATENATE(H771,IF(LEN(F771)=1,CONCATENATE("0",F771),F771))</f>
        <v>201502</v>
      </c>
      <c r="J771" t="str">
        <f t="shared" si="71"/>
        <v>https://www.euro-millions.com/results/06-02-2015</v>
      </c>
      <c r="K771" t="str">
        <f t="shared" ref="K771:K834" si="76">CONCATENATE("http://lottery.merseyworld.com/Euro/archive/Lott",RIGHT(CONCATENATE("00",A771),3),".html")</f>
        <v>http://lottery.merseyworld.com/Euro/archive/Lott770.html</v>
      </c>
    </row>
    <row r="772" spans="1:11" x14ac:dyDescent="0.25">
      <c r="A772">
        <v>771</v>
      </c>
      <c r="B772" s="2" t="str">
        <f t="shared" si="72"/>
        <v>10-02-2015</v>
      </c>
      <c r="C772" t="s">
        <v>16</v>
      </c>
      <c r="D772">
        <v>10</v>
      </c>
      <c r="E772" t="str">
        <f t="shared" si="73"/>
        <v>10</v>
      </c>
      <c r="F772">
        <v>2</v>
      </c>
      <c r="G772" t="str">
        <f t="shared" si="74"/>
        <v>02</v>
      </c>
      <c r="H772">
        <v>2015</v>
      </c>
      <c r="I772" t="str">
        <f t="shared" si="75"/>
        <v>201502</v>
      </c>
      <c r="J772" t="str">
        <f t="shared" si="71"/>
        <v>https://www.euro-millions.com/results/10-02-2015</v>
      </c>
      <c r="K772" t="str">
        <f t="shared" si="76"/>
        <v>http://lottery.merseyworld.com/Euro/archive/Lott771.html</v>
      </c>
    </row>
    <row r="773" spans="1:11" x14ac:dyDescent="0.25">
      <c r="A773">
        <v>772</v>
      </c>
      <c r="B773" s="2" t="str">
        <f t="shared" si="72"/>
        <v>13-02-2015</v>
      </c>
      <c r="C773" t="s">
        <v>10</v>
      </c>
      <c r="D773">
        <v>13</v>
      </c>
      <c r="E773" t="str">
        <f t="shared" si="73"/>
        <v>13</v>
      </c>
      <c r="F773">
        <v>2</v>
      </c>
      <c r="G773" t="str">
        <f t="shared" si="74"/>
        <v>02</v>
      </c>
      <c r="H773">
        <v>2015</v>
      </c>
      <c r="I773" t="str">
        <f t="shared" si="75"/>
        <v>201502</v>
      </c>
      <c r="J773" t="str">
        <f t="shared" si="71"/>
        <v>https://www.euro-millions.com/results/13-02-2015</v>
      </c>
      <c r="K773" t="str">
        <f t="shared" si="76"/>
        <v>http://lottery.merseyworld.com/Euro/archive/Lott772.html</v>
      </c>
    </row>
    <row r="774" spans="1:11" x14ac:dyDescent="0.25">
      <c r="A774">
        <v>773</v>
      </c>
      <c r="B774" s="2" t="str">
        <f t="shared" si="72"/>
        <v>17-02-2015</v>
      </c>
      <c r="C774" t="s">
        <v>16</v>
      </c>
      <c r="D774">
        <v>17</v>
      </c>
      <c r="E774" t="str">
        <f t="shared" si="73"/>
        <v>17</v>
      </c>
      <c r="F774">
        <v>2</v>
      </c>
      <c r="G774" t="str">
        <f t="shared" si="74"/>
        <v>02</v>
      </c>
      <c r="H774">
        <v>2015</v>
      </c>
      <c r="I774" t="str">
        <f t="shared" si="75"/>
        <v>201502</v>
      </c>
      <c r="J774" t="str">
        <f t="shared" si="71"/>
        <v>https://www.euro-millions.com/results/17-02-2015</v>
      </c>
      <c r="K774" t="str">
        <f t="shared" si="76"/>
        <v>http://lottery.merseyworld.com/Euro/archive/Lott773.html</v>
      </c>
    </row>
    <row r="775" spans="1:11" x14ac:dyDescent="0.25">
      <c r="A775">
        <v>774</v>
      </c>
      <c r="B775" s="2" t="str">
        <f t="shared" si="72"/>
        <v>20-02-2015</v>
      </c>
      <c r="C775" t="s">
        <v>10</v>
      </c>
      <c r="D775">
        <v>20</v>
      </c>
      <c r="E775" t="str">
        <f t="shared" si="73"/>
        <v>20</v>
      </c>
      <c r="F775">
        <v>2</v>
      </c>
      <c r="G775" t="str">
        <f t="shared" si="74"/>
        <v>02</v>
      </c>
      <c r="H775">
        <v>2015</v>
      </c>
      <c r="I775" t="str">
        <f t="shared" si="75"/>
        <v>201502</v>
      </c>
      <c r="J775" t="str">
        <f t="shared" si="71"/>
        <v>https://www.euro-millions.com/results/20-02-2015</v>
      </c>
      <c r="K775" t="str">
        <f t="shared" si="76"/>
        <v>http://lottery.merseyworld.com/Euro/archive/Lott774.html</v>
      </c>
    </row>
    <row r="776" spans="1:11" x14ac:dyDescent="0.25">
      <c r="A776">
        <v>775</v>
      </c>
      <c r="B776" s="2" t="str">
        <f t="shared" si="72"/>
        <v>24-02-2015</v>
      </c>
      <c r="C776" t="s">
        <v>16</v>
      </c>
      <c r="D776">
        <v>24</v>
      </c>
      <c r="E776" t="str">
        <f t="shared" si="73"/>
        <v>24</v>
      </c>
      <c r="F776">
        <v>2</v>
      </c>
      <c r="G776" t="str">
        <f t="shared" si="74"/>
        <v>02</v>
      </c>
      <c r="H776">
        <v>2015</v>
      </c>
      <c r="I776" t="str">
        <f t="shared" si="75"/>
        <v>201502</v>
      </c>
      <c r="J776" t="str">
        <f t="shared" ref="J776:J839" si="77">CONCATENATE("https://www.euro-millions.com/results/",E776,"-",G776,"-",H776)</f>
        <v>https://www.euro-millions.com/results/24-02-2015</v>
      </c>
      <c r="K776" t="str">
        <f t="shared" si="76"/>
        <v>http://lottery.merseyworld.com/Euro/archive/Lott775.html</v>
      </c>
    </row>
    <row r="777" spans="1:11" x14ac:dyDescent="0.25">
      <c r="A777">
        <v>776</v>
      </c>
      <c r="B777" s="2" t="str">
        <f t="shared" si="72"/>
        <v>27-02-2015</v>
      </c>
      <c r="C777" t="s">
        <v>10</v>
      </c>
      <c r="D777">
        <v>27</v>
      </c>
      <c r="E777" t="str">
        <f t="shared" si="73"/>
        <v>27</v>
      </c>
      <c r="F777">
        <v>2</v>
      </c>
      <c r="G777" t="str">
        <f t="shared" si="74"/>
        <v>02</v>
      </c>
      <c r="H777">
        <v>2015</v>
      </c>
      <c r="I777" t="str">
        <f t="shared" si="75"/>
        <v>201502</v>
      </c>
      <c r="J777" t="str">
        <f t="shared" si="77"/>
        <v>https://www.euro-millions.com/results/27-02-2015</v>
      </c>
      <c r="K777" t="str">
        <f t="shared" si="76"/>
        <v>http://lottery.merseyworld.com/Euro/archive/Lott776.html</v>
      </c>
    </row>
    <row r="778" spans="1:11" x14ac:dyDescent="0.25">
      <c r="A778">
        <v>777</v>
      </c>
      <c r="B778" s="2" t="str">
        <f t="shared" si="72"/>
        <v>03-03-2015</v>
      </c>
      <c r="C778" t="s">
        <v>16</v>
      </c>
      <c r="D778">
        <v>3</v>
      </c>
      <c r="E778" t="str">
        <f t="shared" si="73"/>
        <v>03</v>
      </c>
      <c r="F778">
        <v>3</v>
      </c>
      <c r="G778" t="str">
        <f t="shared" si="74"/>
        <v>03</v>
      </c>
      <c r="H778">
        <v>2015</v>
      </c>
      <c r="I778" t="str">
        <f t="shared" si="75"/>
        <v>201503</v>
      </c>
      <c r="J778" t="str">
        <f t="shared" si="77"/>
        <v>https://www.euro-millions.com/results/03-03-2015</v>
      </c>
      <c r="K778" t="str">
        <f t="shared" si="76"/>
        <v>http://lottery.merseyworld.com/Euro/archive/Lott777.html</v>
      </c>
    </row>
    <row r="779" spans="1:11" x14ac:dyDescent="0.25">
      <c r="A779">
        <v>778</v>
      </c>
      <c r="B779" s="2" t="str">
        <f t="shared" si="72"/>
        <v>06-03-2015</v>
      </c>
      <c r="C779" t="s">
        <v>10</v>
      </c>
      <c r="D779">
        <v>6</v>
      </c>
      <c r="E779" t="str">
        <f t="shared" si="73"/>
        <v>06</v>
      </c>
      <c r="F779">
        <v>3</v>
      </c>
      <c r="G779" t="str">
        <f t="shared" si="74"/>
        <v>03</v>
      </c>
      <c r="H779">
        <v>2015</v>
      </c>
      <c r="I779" t="str">
        <f t="shared" si="75"/>
        <v>201503</v>
      </c>
      <c r="J779" t="str">
        <f t="shared" si="77"/>
        <v>https://www.euro-millions.com/results/06-03-2015</v>
      </c>
      <c r="K779" t="str">
        <f t="shared" si="76"/>
        <v>http://lottery.merseyworld.com/Euro/archive/Lott778.html</v>
      </c>
    </row>
    <row r="780" spans="1:11" x14ac:dyDescent="0.25">
      <c r="A780">
        <v>779</v>
      </c>
      <c r="B780" s="2" t="str">
        <f t="shared" si="72"/>
        <v>10-03-2015</v>
      </c>
      <c r="C780" t="s">
        <v>16</v>
      </c>
      <c r="D780">
        <v>10</v>
      </c>
      <c r="E780" t="str">
        <f t="shared" si="73"/>
        <v>10</v>
      </c>
      <c r="F780">
        <v>3</v>
      </c>
      <c r="G780" t="str">
        <f t="shared" si="74"/>
        <v>03</v>
      </c>
      <c r="H780">
        <v>2015</v>
      </c>
      <c r="I780" t="str">
        <f t="shared" si="75"/>
        <v>201503</v>
      </c>
      <c r="J780" t="str">
        <f t="shared" si="77"/>
        <v>https://www.euro-millions.com/results/10-03-2015</v>
      </c>
      <c r="K780" t="str">
        <f t="shared" si="76"/>
        <v>http://lottery.merseyworld.com/Euro/archive/Lott779.html</v>
      </c>
    </row>
    <row r="781" spans="1:11" x14ac:dyDescent="0.25">
      <c r="A781">
        <v>780</v>
      </c>
      <c r="B781" s="2" t="str">
        <f t="shared" si="72"/>
        <v>13-03-2015</v>
      </c>
      <c r="C781" t="s">
        <v>10</v>
      </c>
      <c r="D781">
        <v>13</v>
      </c>
      <c r="E781" t="str">
        <f t="shared" si="73"/>
        <v>13</v>
      </c>
      <c r="F781">
        <v>3</v>
      </c>
      <c r="G781" t="str">
        <f t="shared" si="74"/>
        <v>03</v>
      </c>
      <c r="H781">
        <v>2015</v>
      </c>
      <c r="I781" t="str">
        <f t="shared" si="75"/>
        <v>201503</v>
      </c>
      <c r="J781" t="str">
        <f t="shared" si="77"/>
        <v>https://www.euro-millions.com/results/13-03-2015</v>
      </c>
      <c r="K781" t="str">
        <f t="shared" si="76"/>
        <v>http://lottery.merseyworld.com/Euro/archive/Lott780.html</v>
      </c>
    </row>
    <row r="782" spans="1:11" x14ac:dyDescent="0.25">
      <c r="A782">
        <v>781</v>
      </c>
      <c r="B782" s="2" t="str">
        <f t="shared" si="72"/>
        <v>17-03-2015</v>
      </c>
      <c r="C782" t="s">
        <v>16</v>
      </c>
      <c r="D782">
        <v>17</v>
      </c>
      <c r="E782" t="str">
        <f t="shared" si="73"/>
        <v>17</v>
      </c>
      <c r="F782">
        <v>3</v>
      </c>
      <c r="G782" t="str">
        <f t="shared" si="74"/>
        <v>03</v>
      </c>
      <c r="H782">
        <v>2015</v>
      </c>
      <c r="I782" t="str">
        <f t="shared" si="75"/>
        <v>201503</v>
      </c>
      <c r="J782" t="str">
        <f t="shared" si="77"/>
        <v>https://www.euro-millions.com/results/17-03-2015</v>
      </c>
      <c r="K782" t="str">
        <f t="shared" si="76"/>
        <v>http://lottery.merseyworld.com/Euro/archive/Lott781.html</v>
      </c>
    </row>
    <row r="783" spans="1:11" x14ac:dyDescent="0.25">
      <c r="A783">
        <v>782</v>
      </c>
      <c r="B783" s="2" t="str">
        <f t="shared" si="72"/>
        <v>20-03-2015</v>
      </c>
      <c r="C783" t="s">
        <v>10</v>
      </c>
      <c r="D783">
        <v>20</v>
      </c>
      <c r="E783" t="str">
        <f t="shared" si="73"/>
        <v>20</v>
      </c>
      <c r="F783">
        <v>3</v>
      </c>
      <c r="G783" t="str">
        <f t="shared" si="74"/>
        <v>03</v>
      </c>
      <c r="H783">
        <v>2015</v>
      </c>
      <c r="I783" t="str">
        <f t="shared" si="75"/>
        <v>201503</v>
      </c>
      <c r="J783" t="str">
        <f t="shared" si="77"/>
        <v>https://www.euro-millions.com/results/20-03-2015</v>
      </c>
      <c r="K783" t="str">
        <f t="shared" si="76"/>
        <v>http://lottery.merseyworld.com/Euro/archive/Lott782.html</v>
      </c>
    </row>
    <row r="784" spans="1:11" x14ac:dyDescent="0.25">
      <c r="A784">
        <v>783</v>
      </c>
      <c r="B784" s="2" t="str">
        <f t="shared" si="72"/>
        <v>24-03-2015</v>
      </c>
      <c r="C784" t="s">
        <v>16</v>
      </c>
      <c r="D784">
        <v>24</v>
      </c>
      <c r="E784" t="str">
        <f t="shared" si="73"/>
        <v>24</v>
      </c>
      <c r="F784">
        <v>3</v>
      </c>
      <c r="G784" t="str">
        <f t="shared" si="74"/>
        <v>03</v>
      </c>
      <c r="H784">
        <v>2015</v>
      </c>
      <c r="I784" t="str">
        <f t="shared" si="75"/>
        <v>201503</v>
      </c>
      <c r="J784" t="str">
        <f t="shared" si="77"/>
        <v>https://www.euro-millions.com/results/24-03-2015</v>
      </c>
      <c r="K784" t="str">
        <f t="shared" si="76"/>
        <v>http://lottery.merseyworld.com/Euro/archive/Lott783.html</v>
      </c>
    </row>
    <row r="785" spans="1:11" x14ac:dyDescent="0.25">
      <c r="A785">
        <v>784</v>
      </c>
      <c r="B785" s="2" t="str">
        <f t="shared" si="72"/>
        <v>27-03-2015</v>
      </c>
      <c r="C785" t="s">
        <v>10</v>
      </c>
      <c r="D785">
        <v>27</v>
      </c>
      <c r="E785" t="str">
        <f t="shared" si="73"/>
        <v>27</v>
      </c>
      <c r="F785">
        <v>3</v>
      </c>
      <c r="G785" t="str">
        <f t="shared" si="74"/>
        <v>03</v>
      </c>
      <c r="H785">
        <v>2015</v>
      </c>
      <c r="I785" t="str">
        <f t="shared" si="75"/>
        <v>201503</v>
      </c>
      <c r="J785" t="str">
        <f t="shared" si="77"/>
        <v>https://www.euro-millions.com/results/27-03-2015</v>
      </c>
      <c r="K785" t="str">
        <f t="shared" si="76"/>
        <v>http://lottery.merseyworld.com/Euro/archive/Lott784.html</v>
      </c>
    </row>
    <row r="786" spans="1:11" x14ac:dyDescent="0.25">
      <c r="A786">
        <v>785</v>
      </c>
      <c r="B786" s="2" t="str">
        <f t="shared" si="72"/>
        <v>31-03-2015</v>
      </c>
      <c r="C786" t="s">
        <v>16</v>
      </c>
      <c r="D786">
        <v>31</v>
      </c>
      <c r="E786" t="str">
        <f t="shared" si="73"/>
        <v>31</v>
      </c>
      <c r="F786">
        <v>3</v>
      </c>
      <c r="G786" t="str">
        <f t="shared" si="74"/>
        <v>03</v>
      </c>
      <c r="H786">
        <v>2015</v>
      </c>
      <c r="I786" t="str">
        <f t="shared" si="75"/>
        <v>201503</v>
      </c>
      <c r="J786" t="str">
        <f t="shared" si="77"/>
        <v>https://www.euro-millions.com/results/31-03-2015</v>
      </c>
      <c r="K786" t="str">
        <f t="shared" si="76"/>
        <v>http://lottery.merseyworld.com/Euro/archive/Lott785.html</v>
      </c>
    </row>
    <row r="787" spans="1:11" x14ac:dyDescent="0.25">
      <c r="A787">
        <v>786</v>
      </c>
      <c r="B787" s="2" t="str">
        <f t="shared" si="72"/>
        <v>03-04-2015</v>
      </c>
      <c r="C787" t="s">
        <v>10</v>
      </c>
      <c r="D787">
        <v>3</v>
      </c>
      <c r="E787" t="str">
        <f t="shared" si="73"/>
        <v>03</v>
      </c>
      <c r="F787">
        <v>4</v>
      </c>
      <c r="G787" t="str">
        <f t="shared" si="74"/>
        <v>04</v>
      </c>
      <c r="H787">
        <v>2015</v>
      </c>
      <c r="I787" t="str">
        <f t="shared" si="75"/>
        <v>201504</v>
      </c>
      <c r="J787" t="str">
        <f t="shared" si="77"/>
        <v>https://www.euro-millions.com/results/03-04-2015</v>
      </c>
      <c r="K787" t="str">
        <f t="shared" si="76"/>
        <v>http://lottery.merseyworld.com/Euro/archive/Lott786.html</v>
      </c>
    </row>
    <row r="788" spans="1:11" x14ac:dyDescent="0.25">
      <c r="A788">
        <v>787</v>
      </c>
      <c r="B788" s="2" t="str">
        <f t="shared" si="72"/>
        <v>07-04-2015</v>
      </c>
      <c r="C788" t="s">
        <v>16</v>
      </c>
      <c r="D788">
        <v>7</v>
      </c>
      <c r="E788" t="str">
        <f t="shared" si="73"/>
        <v>07</v>
      </c>
      <c r="F788">
        <v>4</v>
      </c>
      <c r="G788" t="str">
        <f t="shared" si="74"/>
        <v>04</v>
      </c>
      <c r="H788">
        <v>2015</v>
      </c>
      <c r="I788" t="str">
        <f t="shared" si="75"/>
        <v>201504</v>
      </c>
      <c r="J788" t="str">
        <f t="shared" si="77"/>
        <v>https://www.euro-millions.com/results/07-04-2015</v>
      </c>
      <c r="K788" t="str">
        <f t="shared" si="76"/>
        <v>http://lottery.merseyworld.com/Euro/archive/Lott787.html</v>
      </c>
    </row>
    <row r="789" spans="1:11" x14ac:dyDescent="0.25">
      <c r="A789">
        <v>788</v>
      </c>
      <c r="B789" s="2" t="str">
        <f t="shared" si="72"/>
        <v>10-04-2015</v>
      </c>
      <c r="C789" t="s">
        <v>10</v>
      </c>
      <c r="D789">
        <v>10</v>
      </c>
      <c r="E789" t="str">
        <f t="shared" si="73"/>
        <v>10</v>
      </c>
      <c r="F789">
        <v>4</v>
      </c>
      <c r="G789" t="str">
        <f t="shared" si="74"/>
        <v>04</v>
      </c>
      <c r="H789">
        <v>2015</v>
      </c>
      <c r="I789" t="str">
        <f t="shared" si="75"/>
        <v>201504</v>
      </c>
      <c r="J789" t="str">
        <f t="shared" si="77"/>
        <v>https://www.euro-millions.com/results/10-04-2015</v>
      </c>
      <c r="K789" t="str">
        <f t="shared" si="76"/>
        <v>http://lottery.merseyworld.com/Euro/archive/Lott788.html</v>
      </c>
    </row>
    <row r="790" spans="1:11" x14ac:dyDescent="0.25">
      <c r="A790">
        <v>789</v>
      </c>
      <c r="B790" s="2" t="str">
        <f t="shared" si="72"/>
        <v>14-04-2015</v>
      </c>
      <c r="C790" t="s">
        <v>16</v>
      </c>
      <c r="D790">
        <v>14</v>
      </c>
      <c r="E790" t="str">
        <f t="shared" si="73"/>
        <v>14</v>
      </c>
      <c r="F790">
        <v>4</v>
      </c>
      <c r="G790" t="str">
        <f t="shared" si="74"/>
        <v>04</v>
      </c>
      <c r="H790">
        <v>2015</v>
      </c>
      <c r="I790" t="str">
        <f t="shared" si="75"/>
        <v>201504</v>
      </c>
      <c r="J790" t="str">
        <f t="shared" si="77"/>
        <v>https://www.euro-millions.com/results/14-04-2015</v>
      </c>
      <c r="K790" t="str">
        <f t="shared" si="76"/>
        <v>http://lottery.merseyworld.com/Euro/archive/Lott789.html</v>
      </c>
    </row>
    <row r="791" spans="1:11" x14ac:dyDescent="0.25">
      <c r="A791">
        <v>790</v>
      </c>
      <c r="B791" s="2" t="str">
        <f t="shared" si="72"/>
        <v>17-04-2015</v>
      </c>
      <c r="C791" t="s">
        <v>10</v>
      </c>
      <c r="D791">
        <v>17</v>
      </c>
      <c r="E791" t="str">
        <f t="shared" si="73"/>
        <v>17</v>
      </c>
      <c r="F791">
        <v>4</v>
      </c>
      <c r="G791" t="str">
        <f t="shared" si="74"/>
        <v>04</v>
      </c>
      <c r="H791">
        <v>2015</v>
      </c>
      <c r="I791" t="str">
        <f t="shared" si="75"/>
        <v>201504</v>
      </c>
      <c r="J791" t="str">
        <f t="shared" si="77"/>
        <v>https://www.euro-millions.com/results/17-04-2015</v>
      </c>
      <c r="K791" t="str">
        <f t="shared" si="76"/>
        <v>http://lottery.merseyworld.com/Euro/archive/Lott790.html</v>
      </c>
    </row>
    <row r="792" spans="1:11" x14ac:dyDescent="0.25">
      <c r="A792">
        <v>791</v>
      </c>
      <c r="B792" s="2" t="str">
        <f t="shared" si="72"/>
        <v>21-04-2015</v>
      </c>
      <c r="C792" t="s">
        <v>16</v>
      </c>
      <c r="D792">
        <v>21</v>
      </c>
      <c r="E792" t="str">
        <f t="shared" si="73"/>
        <v>21</v>
      </c>
      <c r="F792">
        <v>4</v>
      </c>
      <c r="G792" t="str">
        <f t="shared" si="74"/>
        <v>04</v>
      </c>
      <c r="H792">
        <v>2015</v>
      </c>
      <c r="I792" t="str">
        <f t="shared" si="75"/>
        <v>201504</v>
      </c>
      <c r="J792" t="str">
        <f t="shared" si="77"/>
        <v>https://www.euro-millions.com/results/21-04-2015</v>
      </c>
      <c r="K792" t="str">
        <f t="shared" si="76"/>
        <v>http://lottery.merseyworld.com/Euro/archive/Lott791.html</v>
      </c>
    </row>
    <row r="793" spans="1:11" x14ac:dyDescent="0.25">
      <c r="A793">
        <v>792</v>
      </c>
      <c r="B793" s="2" t="str">
        <f t="shared" si="72"/>
        <v>24-04-2015</v>
      </c>
      <c r="C793" t="s">
        <v>10</v>
      </c>
      <c r="D793">
        <v>24</v>
      </c>
      <c r="E793" t="str">
        <f t="shared" si="73"/>
        <v>24</v>
      </c>
      <c r="F793">
        <v>4</v>
      </c>
      <c r="G793" t="str">
        <f t="shared" si="74"/>
        <v>04</v>
      </c>
      <c r="H793">
        <v>2015</v>
      </c>
      <c r="I793" t="str">
        <f t="shared" si="75"/>
        <v>201504</v>
      </c>
      <c r="J793" t="str">
        <f t="shared" si="77"/>
        <v>https://www.euro-millions.com/results/24-04-2015</v>
      </c>
      <c r="K793" t="str">
        <f t="shared" si="76"/>
        <v>http://lottery.merseyworld.com/Euro/archive/Lott792.html</v>
      </c>
    </row>
    <row r="794" spans="1:11" x14ac:dyDescent="0.25">
      <c r="A794">
        <v>793</v>
      </c>
      <c r="B794" s="2" t="str">
        <f t="shared" si="72"/>
        <v>28-04-2015</v>
      </c>
      <c r="C794" t="s">
        <v>16</v>
      </c>
      <c r="D794">
        <v>28</v>
      </c>
      <c r="E794" t="str">
        <f t="shared" si="73"/>
        <v>28</v>
      </c>
      <c r="F794">
        <v>4</v>
      </c>
      <c r="G794" t="str">
        <f t="shared" si="74"/>
        <v>04</v>
      </c>
      <c r="H794">
        <v>2015</v>
      </c>
      <c r="I794" t="str">
        <f t="shared" si="75"/>
        <v>201504</v>
      </c>
      <c r="J794" t="str">
        <f t="shared" si="77"/>
        <v>https://www.euro-millions.com/results/28-04-2015</v>
      </c>
      <c r="K794" t="str">
        <f t="shared" si="76"/>
        <v>http://lottery.merseyworld.com/Euro/archive/Lott793.html</v>
      </c>
    </row>
    <row r="795" spans="1:11" x14ac:dyDescent="0.25">
      <c r="A795">
        <v>794</v>
      </c>
      <c r="B795" s="2" t="str">
        <f t="shared" si="72"/>
        <v>01-05-2015</v>
      </c>
      <c r="C795" t="s">
        <v>10</v>
      </c>
      <c r="D795">
        <v>1</v>
      </c>
      <c r="E795" t="str">
        <f t="shared" si="73"/>
        <v>01</v>
      </c>
      <c r="F795">
        <v>5</v>
      </c>
      <c r="G795" t="str">
        <f t="shared" si="74"/>
        <v>05</v>
      </c>
      <c r="H795">
        <v>2015</v>
      </c>
      <c r="I795" t="str">
        <f t="shared" si="75"/>
        <v>201505</v>
      </c>
      <c r="J795" t="str">
        <f t="shared" si="77"/>
        <v>https://www.euro-millions.com/results/01-05-2015</v>
      </c>
      <c r="K795" t="str">
        <f t="shared" si="76"/>
        <v>http://lottery.merseyworld.com/Euro/archive/Lott794.html</v>
      </c>
    </row>
    <row r="796" spans="1:11" x14ac:dyDescent="0.25">
      <c r="A796">
        <v>795</v>
      </c>
      <c r="B796" s="2" t="str">
        <f t="shared" si="72"/>
        <v>05-05-2015</v>
      </c>
      <c r="C796" t="s">
        <v>16</v>
      </c>
      <c r="D796">
        <v>5</v>
      </c>
      <c r="E796" t="str">
        <f t="shared" si="73"/>
        <v>05</v>
      </c>
      <c r="F796">
        <v>5</v>
      </c>
      <c r="G796" t="str">
        <f t="shared" si="74"/>
        <v>05</v>
      </c>
      <c r="H796">
        <v>2015</v>
      </c>
      <c r="I796" t="str">
        <f t="shared" si="75"/>
        <v>201505</v>
      </c>
      <c r="J796" t="str">
        <f t="shared" si="77"/>
        <v>https://www.euro-millions.com/results/05-05-2015</v>
      </c>
      <c r="K796" t="str">
        <f t="shared" si="76"/>
        <v>http://lottery.merseyworld.com/Euro/archive/Lott795.html</v>
      </c>
    </row>
    <row r="797" spans="1:11" x14ac:dyDescent="0.25">
      <c r="A797">
        <v>796</v>
      </c>
      <c r="B797" s="2" t="str">
        <f t="shared" si="72"/>
        <v>08-05-2015</v>
      </c>
      <c r="C797" t="s">
        <v>10</v>
      </c>
      <c r="D797">
        <v>8</v>
      </c>
      <c r="E797" t="str">
        <f t="shared" si="73"/>
        <v>08</v>
      </c>
      <c r="F797">
        <v>5</v>
      </c>
      <c r="G797" t="str">
        <f t="shared" si="74"/>
        <v>05</v>
      </c>
      <c r="H797">
        <v>2015</v>
      </c>
      <c r="I797" t="str">
        <f t="shared" si="75"/>
        <v>201505</v>
      </c>
      <c r="J797" t="str">
        <f t="shared" si="77"/>
        <v>https://www.euro-millions.com/results/08-05-2015</v>
      </c>
      <c r="K797" t="str">
        <f t="shared" si="76"/>
        <v>http://lottery.merseyworld.com/Euro/archive/Lott796.html</v>
      </c>
    </row>
    <row r="798" spans="1:11" x14ac:dyDescent="0.25">
      <c r="A798">
        <v>797</v>
      </c>
      <c r="B798" s="2" t="str">
        <f t="shared" si="72"/>
        <v>12-05-2015</v>
      </c>
      <c r="C798" t="s">
        <v>16</v>
      </c>
      <c r="D798">
        <v>12</v>
      </c>
      <c r="E798" t="str">
        <f t="shared" si="73"/>
        <v>12</v>
      </c>
      <c r="F798">
        <v>5</v>
      </c>
      <c r="G798" t="str">
        <f t="shared" si="74"/>
        <v>05</v>
      </c>
      <c r="H798">
        <v>2015</v>
      </c>
      <c r="I798" t="str">
        <f t="shared" si="75"/>
        <v>201505</v>
      </c>
      <c r="J798" t="str">
        <f t="shared" si="77"/>
        <v>https://www.euro-millions.com/results/12-05-2015</v>
      </c>
      <c r="K798" t="str">
        <f t="shared" si="76"/>
        <v>http://lottery.merseyworld.com/Euro/archive/Lott797.html</v>
      </c>
    </row>
    <row r="799" spans="1:11" x14ac:dyDescent="0.25">
      <c r="A799">
        <v>798</v>
      </c>
      <c r="B799" s="2" t="str">
        <f t="shared" si="72"/>
        <v>15-05-2015</v>
      </c>
      <c r="C799" t="s">
        <v>10</v>
      </c>
      <c r="D799">
        <v>15</v>
      </c>
      <c r="E799" t="str">
        <f t="shared" si="73"/>
        <v>15</v>
      </c>
      <c r="F799">
        <v>5</v>
      </c>
      <c r="G799" t="str">
        <f t="shared" si="74"/>
        <v>05</v>
      </c>
      <c r="H799">
        <v>2015</v>
      </c>
      <c r="I799" t="str">
        <f t="shared" si="75"/>
        <v>201505</v>
      </c>
      <c r="J799" t="str">
        <f t="shared" si="77"/>
        <v>https://www.euro-millions.com/results/15-05-2015</v>
      </c>
      <c r="K799" t="str">
        <f t="shared" si="76"/>
        <v>http://lottery.merseyworld.com/Euro/archive/Lott798.html</v>
      </c>
    </row>
    <row r="800" spans="1:11" x14ac:dyDescent="0.25">
      <c r="A800">
        <v>799</v>
      </c>
      <c r="B800" s="2" t="str">
        <f t="shared" si="72"/>
        <v>19-05-2015</v>
      </c>
      <c r="C800" t="s">
        <v>16</v>
      </c>
      <c r="D800">
        <v>19</v>
      </c>
      <c r="E800" t="str">
        <f t="shared" si="73"/>
        <v>19</v>
      </c>
      <c r="F800">
        <v>5</v>
      </c>
      <c r="G800" t="str">
        <f t="shared" si="74"/>
        <v>05</v>
      </c>
      <c r="H800">
        <v>2015</v>
      </c>
      <c r="I800" t="str">
        <f t="shared" si="75"/>
        <v>201505</v>
      </c>
      <c r="J800" t="str">
        <f t="shared" si="77"/>
        <v>https://www.euro-millions.com/results/19-05-2015</v>
      </c>
      <c r="K800" t="str">
        <f t="shared" si="76"/>
        <v>http://lottery.merseyworld.com/Euro/archive/Lott799.html</v>
      </c>
    </row>
    <row r="801" spans="1:11" x14ac:dyDescent="0.25">
      <c r="A801">
        <v>800</v>
      </c>
      <c r="B801" s="2" t="str">
        <f t="shared" si="72"/>
        <v>22-05-2015</v>
      </c>
      <c r="C801" t="s">
        <v>10</v>
      </c>
      <c r="D801">
        <v>22</v>
      </c>
      <c r="E801" t="str">
        <f t="shared" si="73"/>
        <v>22</v>
      </c>
      <c r="F801">
        <v>5</v>
      </c>
      <c r="G801" t="str">
        <f t="shared" si="74"/>
        <v>05</v>
      </c>
      <c r="H801">
        <v>2015</v>
      </c>
      <c r="I801" t="str">
        <f t="shared" si="75"/>
        <v>201505</v>
      </c>
      <c r="J801" t="str">
        <f t="shared" si="77"/>
        <v>https://www.euro-millions.com/results/22-05-2015</v>
      </c>
      <c r="K801" t="str">
        <f t="shared" si="76"/>
        <v>http://lottery.merseyworld.com/Euro/archive/Lott800.html</v>
      </c>
    </row>
    <row r="802" spans="1:11" x14ac:dyDescent="0.25">
      <c r="A802">
        <v>801</v>
      </c>
      <c r="B802" s="2" t="str">
        <f t="shared" si="72"/>
        <v>26-05-2015</v>
      </c>
      <c r="C802" t="s">
        <v>16</v>
      </c>
      <c r="D802">
        <v>26</v>
      </c>
      <c r="E802" t="str">
        <f t="shared" si="73"/>
        <v>26</v>
      </c>
      <c r="F802">
        <v>5</v>
      </c>
      <c r="G802" t="str">
        <f t="shared" si="74"/>
        <v>05</v>
      </c>
      <c r="H802">
        <v>2015</v>
      </c>
      <c r="I802" t="str">
        <f t="shared" si="75"/>
        <v>201505</v>
      </c>
      <c r="J802" t="str">
        <f t="shared" si="77"/>
        <v>https://www.euro-millions.com/results/26-05-2015</v>
      </c>
      <c r="K802" t="str">
        <f t="shared" si="76"/>
        <v>http://lottery.merseyworld.com/Euro/archive/Lott801.html</v>
      </c>
    </row>
    <row r="803" spans="1:11" x14ac:dyDescent="0.25">
      <c r="A803">
        <v>802</v>
      </c>
      <c r="B803" s="2" t="str">
        <f t="shared" si="72"/>
        <v>29-05-2015</v>
      </c>
      <c r="C803" t="s">
        <v>10</v>
      </c>
      <c r="D803">
        <v>29</v>
      </c>
      <c r="E803" t="str">
        <f t="shared" si="73"/>
        <v>29</v>
      </c>
      <c r="F803">
        <v>5</v>
      </c>
      <c r="G803" t="str">
        <f t="shared" si="74"/>
        <v>05</v>
      </c>
      <c r="H803">
        <v>2015</v>
      </c>
      <c r="I803" t="str">
        <f t="shared" si="75"/>
        <v>201505</v>
      </c>
      <c r="J803" t="str">
        <f t="shared" si="77"/>
        <v>https://www.euro-millions.com/results/29-05-2015</v>
      </c>
      <c r="K803" t="str">
        <f t="shared" si="76"/>
        <v>http://lottery.merseyworld.com/Euro/archive/Lott802.html</v>
      </c>
    </row>
    <row r="804" spans="1:11" x14ac:dyDescent="0.25">
      <c r="A804">
        <v>803</v>
      </c>
      <c r="B804" s="2" t="str">
        <f t="shared" si="72"/>
        <v>02-06-2015</v>
      </c>
      <c r="C804" t="s">
        <v>16</v>
      </c>
      <c r="D804">
        <v>2</v>
      </c>
      <c r="E804" t="str">
        <f t="shared" si="73"/>
        <v>02</v>
      </c>
      <c r="F804">
        <v>6</v>
      </c>
      <c r="G804" t="str">
        <f t="shared" si="74"/>
        <v>06</v>
      </c>
      <c r="H804">
        <v>2015</v>
      </c>
      <c r="I804" t="str">
        <f t="shared" si="75"/>
        <v>201506</v>
      </c>
      <c r="J804" t="str">
        <f t="shared" si="77"/>
        <v>https://www.euro-millions.com/results/02-06-2015</v>
      </c>
      <c r="K804" t="str">
        <f t="shared" si="76"/>
        <v>http://lottery.merseyworld.com/Euro/archive/Lott803.html</v>
      </c>
    </row>
    <row r="805" spans="1:11" x14ac:dyDescent="0.25">
      <c r="A805">
        <v>804</v>
      </c>
      <c r="B805" s="2" t="str">
        <f t="shared" si="72"/>
        <v>05-06-2015</v>
      </c>
      <c r="C805" t="s">
        <v>10</v>
      </c>
      <c r="D805">
        <v>5</v>
      </c>
      <c r="E805" t="str">
        <f t="shared" si="73"/>
        <v>05</v>
      </c>
      <c r="F805">
        <v>6</v>
      </c>
      <c r="G805" t="str">
        <f t="shared" si="74"/>
        <v>06</v>
      </c>
      <c r="H805">
        <v>2015</v>
      </c>
      <c r="I805" t="str">
        <f t="shared" si="75"/>
        <v>201506</v>
      </c>
      <c r="J805" t="str">
        <f t="shared" si="77"/>
        <v>https://www.euro-millions.com/results/05-06-2015</v>
      </c>
      <c r="K805" t="str">
        <f t="shared" si="76"/>
        <v>http://lottery.merseyworld.com/Euro/archive/Lott804.html</v>
      </c>
    </row>
    <row r="806" spans="1:11" x14ac:dyDescent="0.25">
      <c r="A806">
        <v>805</v>
      </c>
      <c r="B806" s="2" t="str">
        <f t="shared" si="72"/>
        <v>09-06-2015</v>
      </c>
      <c r="C806" t="s">
        <v>16</v>
      </c>
      <c r="D806">
        <v>9</v>
      </c>
      <c r="E806" t="str">
        <f t="shared" si="73"/>
        <v>09</v>
      </c>
      <c r="F806">
        <v>6</v>
      </c>
      <c r="G806" t="str">
        <f t="shared" si="74"/>
        <v>06</v>
      </c>
      <c r="H806">
        <v>2015</v>
      </c>
      <c r="I806" t="str">
        <f t="shared" si="75"/>
        <v>201506</v>
      </c>
      <c r="J806" t="str">
        <f t="shared" si="77"/>
        <v>https://www.euro-millions.com/results/09-06-2015</v>
      </c>
      <c r="K806" t="str">
        <f t="shared" si="76"/>
        <v>http://lottery.merseyworld.com/Euro/archive/Lott805.html</v>
      </c>
    </row>
    <row r="807" spans="1:11" x14ac:dyDescent="0.25">
      <c r="A807">
        <v>806</v>
      </c>
      <c r="B807" s="2" t="str">
        <f t="shared" si="72"/>
        <v>12-06-2015</v>
      </c>
      <c r="C807" t="s">
        <v>10</v>
      </c>
      <c r="D807">
        <v>12</v>
      </c>
      <c r="E807" t="str">
        <f t="shared" si="73"/>
        <v>12</v>
      </c>
      <c r="F807">
        <v>6</v>
      </c>
      <c r="G807" t="str">
        <f t="shared" si="74"/>
        <v>06</v>
      </c>
      <c r="H807">
        <v>2015</v>
      </c>
      <c r="I807" t="str">
        <f t="shared" si="75"/>
        <v>201506</v>
      </c>
      <c r="J807" t="str">
        <f t="shared" si="77"/>
        <v>https://www.euro-millions.com/results/12-06-2015</v>
      </c>
      <c r="K807" t="str">
        <f t="shared" si="76"/>
        <v>http://lottery.merseyworld.com/Euro/archive/Lott806.html</v>
      </c>
    </row>
    <row r="808" spans="1:11" x14ac:dyDescent="0.25">
      <c r="A808">
        <v>807</v>
      </c>
      <c r="B808" s="2" t="str">
        <f t="shared" si="72"/>
        <v>16-06-2015</v>
      </c>
      <c r="C808" t="s">
        <v>16</v>
      </c>
      <c r="D808">
        <v>16</v>
      </c>
      <c r="E808" t="str">
        <f t="shared" si="73"/>
        <v>16</v>
      </c>
      <c r="F808">
        <v>6</v>
      </c>
      <c r="G808" t="str">
        <f t="shared" si="74"/>
        <v>06</v>
      </c>
      <c r="H808">
        <v>2015</v>
      </c>
      <c r="I808" t="str">
        <f t="shared" si="75"/>
        <v>201506</v>
      </c>
      <c r="J808" t="str">
        <f t="shared" si="77"/>
        <v>https://www.euro-millions.com/results/16-06-2015</v>
      </c>
      <c r="K808" t="str">
        <f t="shared" si="76"/>
        <v>http://lottery.merseyworld.com/Euro/archive/Lott807.html</v>
      </c>
    </row>
    <row r="809" spans="1:11" x14ac:dyDescent="0.25">
      <c r="A809">
        <v>808</v>
      </c>
      <c r="B809" s="2" t="str">
        <f t="shared" si="72"/>
        <v>19-06-2015</v>
      </c>
      <c r="C809" t="s">
        <v>10</v>
      </c>
      <c r="D809">
        <v>19</v>
      </c>
      <c r="E809" t="str">
        <f t="shared" si="73"/>
        <v>19</v>
      </c>
      <c r="F809">
        <v>6</v>
      </c>
      <c r="G809" t="str">
        <f t="shared" si="74"/>
        <v>06</v>
      </c>
      <c r="H809">
        <v>2015</v>
      </c>
      <c r="I809" t="str">
        <f t="shared" si="75"/>
        <v>201506</v>
      </c>
      <c r="J809" t="str">
        <f t="shared" si="77"/>
        <v>https://www.euro-millions.com/results/19-06-2015</v>
      </c>
      <c r="K809" t="str">
        <f t="shared" si="76"/>
        <v>http://lottery.merseyworld.com/Euro/archive/Lott808.html</v>
      </c>
    </row>
    <row r="810" spans="1:11" x14ac:dyDescent="0.25">
      <c r="A810">
        <v>809</v>
      </c>
      <c r="B810" s="2" t="str">
        <f t="shared" si="72"/>
        <v>23-06-2015</v>
      </c>
      <c r="C810" t="s">
        <v>16</v>
      </c>
      <c r="D810">
        <v>23</v>
      </c>
      <c r="E810" t="str">
        <f t="shared" si="73"/>
        <v>23</v>
      </c>
      <c r="F810">
        <v>6</v>
      </c>
      <c r="G810" t="str">
        <f t="shared" si="74"/>
        <v>06</v>
      </c>
      <c r="H810">
        <v>2015</v>
      </c>
      <c r="I810" t="str">
        <f t="shared" si="75"/>
        <v>201506</v>
      </c>
      <c r="J810" t="str">
        <f t="shared" si="77"/>
        <v>https://www.euro-millions.com/results/23-06-2015</v>
      </c>
      <c r="K810" t="str">
        <f t="shared" si="76"/>
        <v>http://lottery.merseyworld.com/Euro/archive/Lott809.html</v>
      </c>
    </row>
    <row r="811" spans="1:11" x14ac:dyDescent="0.25">
      <c r="A811">
        <v>810</v>
      </c>
      <c r="B811" s="2" t="str">
        <f t="shared" si="72"/>
        <v>26-06-2015</v>
      </c>
      <c r="C811" t="s">
        <v>10</v>
      </c>
      <c r="D811">
        <v>26</v>
      </c>
      <c r="E811" t="str">
        <f t="shared" si="73"/>
        <v>26</v>
      </c>
      <c r="F811">
        <v>6</v>
      </c>
      <c r="G811" t="str">
        <f t="shared" si="74"/>
        <v>06</v>
      </c>
      <c r="H811">
        <v>2015</v>
      </c>
      <c r="I811" t="str">
        <f t="shared" si="75"/>
        <v>201506</v>
      </c>
      <c r="J811" t="str">
        <f t="shared" si="77"/>
        <v>https://www.euro-millions.com/results/26-06-2015</v>
      </c>
      <c r="K811" t="str">
        <f t="shared" si="76"/>
        <v>http://lottery.merseyworld.com/Euro/archive/Lott810.html</v>
      </c>
    </row>
    <row r="812" spans="1:11" x14ac:dyDescent="0.25">
      <c r="A812">
        <v>811</v>
      </c>
      <c r="B812" s="2" t="str">
        <f t="shared" si="72"/>
        <v>30-06-2015</v>
      </c>
      <c r="C812" t="s">
        <v>16</v>
      </c>
      <c r="D812">
        <v>30</v>
      </c>
      <c r="E812" t="str">
        <f t="shared" si="73"/>
        <v>30</v>
      </c>
      <c r="F812">
        <v>6</v>
      </c>
      <c r="G812" t="str">
        <f t="shared" si="74"/>
        <v>06</v>
      </c>
      <c r="H812">
        <v>2015</v>
      </c>
      <c r="I812" t="str">
        <f t="shared" si="75"/>
        <v>201506</v>
      </c>
      <c r="J812" t="str">
        <f t="shared" si="77"/>
        <v>https://www.euro-millions.com/results/30-06-2015</v>
      </c>
      <c r="K812" t="str">
        <f t="shared" si="76"/>
        <v>http://lottery.merseyworld.com/Euro/archive/Lott811.html</v>
      </c>
    </row>
    <row r="813" spans="1:11" x14ac:dyDescent="0.25">
      <c r="A813">
        <v>812</v>
      </c>
      <c r="B813" s="2" t="str">
        <f t="shared" si="72"/>
        <v>03-07-2015</v>
      </c>
      <c r="C813" t="s">
        <v>10</v>
      </c>
      <c r="D813">
        <v>3</v>
      </c>
      <c r="E813" t="str">
        <f t="shared" si="73"/>
        <v>03</v>
      </c>
      <c r="F813">
        <v>7</v>
      </c>
      <c r="G813" t="str">
        <f t="shared" si="74"/>
        <v>07</v>
      </c>
      <c r="H813">
        <v>2015</v>
      </c>
      <c r="I813" t="str">
        <f t="shared" si="75"/>
        <v>201507</v>
      </c>
      <c r="J813" t="str">
        <f t="shared" si="77"/>
        <v>https://www.euro-millions.com/results/03-07-2015</v>
      </c>
      <c r="K813" t="str">
        <f t="shared" si="76"/>
        <v>http://lottery.merseyworld.com/Euro/archive/Lott812.html</v>
      </c>
    </row>
    <row r="814" spans="1:11" x14ac:dyDescent="0.25">
      <c r="A814">
        <v>813</v>
      </c>
      <c r="B814" s="2" t="str">
        <f t="shared" si="72"/>
        <v>07-07-2015</v>
      </c>
      <c r="C814" t="s">
        <v>16</v>
      </c>
      <c r="D814">
        <v>7</v>
      </c>
      <c r="E814" t="str">
        <f t="shared" si="73"/>
        <v>07</v>
      </c>
      <c r="F814">
        <v>7</v>
      </c>
      <c r="G814" t="str">
        <f t="shared" si="74"/>
        <v>07</v>
      </c>
      <c r="H814">
        <v>2015</v>
      </c>
      <c r="I814" t="str">
        <f t="shared" si="75"/>
        <v>201507</v>
      </c>
      <c r="J814" t="str">
        <f t="shared" si="77"/>
        <v>https://www.euro-millions.com/results/07-07-2015</v>
      </c>
      <c r="K814" t="str">
        <f t="shared" si="76"/>
        <v>http://lottery.merseyworld.com/Euro/archive/Lott813.html</v>
      </c>
    </row>
    <row r="815" spans="1:11" x14ac:dyDescent="0.25">
      <c r="A815">
        <v>814</v>
      </c>
      <c r="B815" s="2" t="str">
        <f t="shared" si="72"/>
        <v>10-07-2015</v>
      </c>
      <c r="C815" t="s">
        <v>10</v>
      </c>
      <c r="D815">
        <v>10</v>
      </c>
      <c r="E815" t="str">
        <f t="shared" si="73"/>
        <v>10</v>
      </c>
      <c r="F815">
        <v>7</v>
      </c>
      <c r="G815" t="str">
        <f t="shared" si="74"/>
        <v>07</v>
      </c>
      <c r="H815">
        <v>2015</v>
      </c>
      <c r="I815" t="str">
        <f t="shared" si="75"/>
        <v>201507</v>
      </c>
      <c r="J815" t="str">
        <f t="shared" si="77"/>
        <v>https://www.euro-millions.com/results/10-07-2015</v>
      </c>
      <c r="K815" t="str">
        <f t="shared" si="76"/>
        <v>http://lottery.merseyworld.com/Euro/archive/Lott814.html</v>
      </c>
    </row>
    <row r="816" spans="1:11" x14ac:dyDescent="0.25">
      <c r="A816">
        <v>815</v>
      </c>
      <c r="B816" s="2" t="str">
        <f t="shared" si="72"/>
        <v>14-07-2015</v>
      </c>
      <c r="C816" t="s">
        <v>16</v>
      </c>
      <c r="D816">
        <v>14</v>
      </c>
      <c r="E816" t="str">
        <f t="shared" si="73"/>
        <v>14</v>
      </c>
      <c r="F816">
        <v>7</v>
      </c>
      <c r="G816" t="str">
        <f t="shared" si="74"/>
        <v>07</v>
      </c>
      <c r="H816">
        <v>2015</v>
      </c>
      <c r="I816" t="str">
        <f t="shared" si="75"/>
        <v>201507</v>
      </c>
      <c r="J816" t="str">
        <f t="shared" si="77"/>
        <v>https://www.euro-millions.com/results/14-07-2015</v>
      </c>
      <c r="K816" t="str">
        <f t="shared" si="76"/>
        <v>http://lottery.merseyworld.com/Euro/archive/Lott815.html</v>
      </c>
    </row>
    <row r="817" spans="1:11" x14ac:dyDescent="0.25">
      <c r="A817">
        <v>816</v>
      </c>
      <c r="B817" s="2" t="str">
        <f t="shared" si="72"/>
        <v>17-07-2015</v>
      </c>
      <c r="C817" t="s">
        <v>10</v>
      </c>
      <c r="D817">
        <v>17</v>
      </c>
      <c r="E817" t="str">
        <f t="shared" si="73"/>
        <v>17</v>
      </c>
      <c r="F817">
        <v>7</v>
      </c>
      <c r="G817" t="str">
        <f t="shared" si="74"/>
        <v>07</v>
      </c>
      <c r="H817">
        <v>2015</v>
      </c>
      <c r="I817" t="str">
        <f t="shared" si="75"/>
        <v>201507</v>
      </c>
      <c r="J817" t="str">
        <f t="shared" si="77"/>
        <v>https://www.euro-millions.com/results/17-07-2015</v>
      </c>
      <c r="K817" t="str">
        <f t="shared" si="76"/>
        <v>http://lottery.merseyworld.com/Euro/archive/Lott816.html</v>
      </c>
    </row>
    <row r="818" spans="1:11" x14ac:dyDescent="0.25">
      <c r="A818">
        <v>817</v>
      </c>
      <c r="B818" s="2" t="str">
        <f t="shared" si="72"/>
        <v>21-07-2015</v>
      </c>
      <c r="C818" t="s">
        <v>16</v>
      </c>
      <c r="D818">
        <v>21</v>
      </c>
      <c r="E818" t="str">
        <f t="shared" si="73"/>
        <v>21</v>
      </c>
      <c r="F818">
        <v>7</v>
      </c>
      <c r="G818" t="str">
        <f t="shared" si="74"/>
        <v>07</v>
      </c>
      <c r="H818">
        <v>2015</v>
      </c>
      <c r="I818" t="str">
        <f t="shared" si="75"/>
        <v>201507</v>
      </c>
      <c r="J818" t="str">
        <f t="shared" si="77"/>
        <v>https://www.euro-millions.com/results/21-07-2015</v>
      </c>
      <c r="K818" t="str">
        <f t="shared" si="76"/>
        <v>http://lottery.merseyworld.com/Euro/archive/Lott817.html</v>
      </c>
    </row>
    <row r="819" spans="1:11" x14ac:dyDescent="0.25">
      <c r="A819">
        <v>818</v>
      </c>
      <c r="B819" s="2" t="str">
        <f t="shared" si="72"/>
        <v>24-07-2015</v>
      </c>
      <c r="C819" t="s">
        <v>10</v>
      </c>
      <c r="D819">
        <v>24</v>
      </c>
      <c r="E819" t="str">
        <f t="shared" si="73"/>
        <v>24</v>
      </c>
      <c r="F819">
        <v>7</v>
      </c>
      <c r="G819" t="str">
        <f t="shared" si="74"/>
        <v>07</v>
      </c>
      <c r="H819">
        <v>2015</v>
      </c>
      <c r="I819" t="str">
        <f t="shared" si="75"/>
        <v>201507</v>
      </c>
      <c r="J819" t="str">
        <f t="shared" si="77"/>
        <v>https://www.euro-millions.com/results/24-07-2015</v>
      </c>
      <c r="K819" t="str">
        <f t="shared" si="76"/>
        <v>http://lottery.merseyworld.com/Euro/archive/Lott818.html</v>
      </c>
    </row>
    <row r="820" spans="1:11" x14ac:dyDescent="0.25">
      <c r="A820">
        <v>819</v>
      </c>
      <c r="B820" s="2" t="str">
        <f t="shared" si="72"/>
        <v>28-07-2015</v>
      </c>
      <c r="C820" t="s">
        <v>16</v>
      </c>
      <c r="D820">
        <v>28</v>
      </c>
      <c r="E820" t="str">
        <f t="shared" si="73"/>
        <v>28</v>
      </c>
      <c r="F820">
        <v>7</v>
      </c>
      <c r="G820" t="str">
        <f t="shared" si="74"/>
        <v>07</v>
      </c>
      <c r="H820">
        <v>2015</v>
      </c>
      <c r="I820" t="str">
        <f t="shared" si="75"/>
        <v>201507</v>
      </c>
      <c r="J820" t="str">
        <f t="shared" si="77"/>
        <v>https://www.euro-millions.com/results/28-07-2015</v>
      </c>
      <c r="K820" t="str">
        <f t="shared" si="76"/>
        <v>http://lottery.merseyworld.com/Euro/archive/Lott819.html</v>
      </c>
    </row>
    <row r="821" spans="1:11" x14ac:dyDescent="0.25">
      <c r="A821">
        <v>820</v>
      </c>
      <c r="B821" s="2" t="str">
        <f t="shared" si="72"/>
        <v>31-07-2015</v>
      </c>
      <c r="C821" t="s">
        <v>10</v>
      </c>
      <c r="D821">
        <v>31</v>
      </c>
      <c r="E821" t="str">
        <f t="shared" si="73"/>
        <v>31</v>
      </c>
      <c r="F821">
        <v>7</v>
      </c>
      <c r="G821" t="str">
        <f t="shared" si="74"/>
        <v>07</v>
      </c>
      <c r="H821">
        <v>2015</v>
      </c>
      <c r="I821" t="str">
        <f t="shared" si="75"/>
        <v>201507</v>
      </c>
      <c r="J821" t="str">
        <f t="shared" si="77"/>
        <v>https://www.euro-millions.com/results/31-07-2015</v>
      </c>
      <c r="K821" t="str">
        <f t="shared" si="76"/>
        <v>http://lottery.merseyworld.com/Euro/archive/Lott820.html</v>
      </c>
    </row>
    <row r="822" spans="1:11" x14ac:dyDescent="0.25">
      <c r="A822">
        <v>821</v>
      </c>
      <c r="B822" s="2" t="str">
        <f t="shared" si="72"/>
        <v>04-08-2015</v>
      </c>
      <c r="C822" t="s">
        <v>16</v>
      </c>
      <c r="D822">
        <v>4</v>
      </c>
      <c r="E822" t="str">
        <f t="shared" si="73"/>
        <v>04</v>
      </c>
      <c r="F822">
        <v>8</v>
      </c>
      <c r="G822" t="str">
        <f t="shared" si="74"/>
        <v>08</v>
      </c>
      <c r="H822">
        <v>2015</v>
      </c>
      <c r="I822" t="str">
        <f t="shared" si="75"/>
        <v>201508</v>
      </c>
      <c r="J822" t="str">
        <f t="shared" si="77"/>
        <v>https://www.euro-millions.com/results/04-08-2015</v>
      </c>
      <c r="K822" t="str">
        <f t="shared" si="76"/>
        <v>http://lottery.merseyworld.com/Euro/archive/Lott821.html</v>
      </c>
    </row>
    <row r="823" spans="1:11" x14ac:dyDescent="0.25">
      <c r="A823">
        <v>822</v>
      </c>
      <c r="B823" s="2" t="str">
        <f t="shared" si="72"/>
        <v>07-08-2015</v>
      </c>
      <c r="C823" t="s">
        <v>10</v>
      </c>
      <c r="D823">
        <v>7</v>
      </c>
      <c r="E823" t="str">
        <f t="shared" si="73"/>
        <v>07</v>
      </c>
      <c r="F823">
        <v>8</v>
      </c>
      <c r="G823" t="str">
        <f t="shared" si="74"/>
        <v>08</v>
      </c>
      <c r="H823">
        <v>2015</v>
      </c>
      <c r="I823" t="str">
        <f t="shared" si="75"/>
        <v>201508</v>
      </c>
      <c r="J823" t="str">
        <f t="shared" si="77"/>
        <v>https://www.euro-millions.com/results/07-08-2015</v>
      </c>
      <c r="K823" t="str">
        <f t="shared" si="76"/>
        <v>http://lottery.merseyworld.com/Euro/archive/Lott822.html</v>
      </c>
    </row>
    <row r="824" spans="1:11" x14ac:dyDescent="0.25">
      <c r="A824">
        <v>823</v>
      </c>
      <c r="B824" s="2" t="str">
        <f t="shared" si="72"/>
        <v>11-08-2015</v>
      </c>
      <c r="C824" t="s">
        <v>16</v>
      </c>
      <c r="D824">
        <v>11</v>
      </c>
      <c r="E824" t="str">
        <f t="shared" si="73"/>
        <v>11</v>
      </c>
      <c r="F824">
        <v>8</v>
      </c>
      <c r="G824" t="str">
        <f t="shared" si="74"/>
        <v>08</v>
      </c>
      <c r="H824">
        <v>2015</v>
      </c>
      <c r="I824" t="str">
        <f t="shared" si="75"/>
        <v>201508</v>
      </c>
      <c r="J824" t="str">
        <f t="shared" si="77"/>
        <v>https://www.euro-millions.com/results/11-08-2015</v>
      </c>
      <c r="K824" t="str">
        <f t="shared" si="76"/>
        <v>http://lottery.merseyworld.com/Euro/archive/Lott823.html</v>
      </c>
    </row>
    <row r="825" spans="1:11" x14ac:dyDescent="0.25">
      <c r="A825">
        <v>824</v>
      </c>
      <c r="B825" s="2" t="str">
        <f t="shared" si="72"/>
        <v>14-08-2015</v>
      </c>
      <c r="C825" t="s">
        <v>10</v>
      </c>
      <c r="D825">
        <v>14</v>
      </c>
      <c r="E825" t="str">
        <f t="shared" si="73"/>
        <v>14</v>
      </c>
      <c r="F825">
        <v>8</v>
      </c>
      <c r="G825" t="str">
        <f t="shared" si="74"/>
        <v>08</v>
      </c>
      <c r="H825">
        <v>2015</v>
      </c>
      <c r="I825" t="str">
        <f t="shared" si="75"/>
        <v>201508</v>
      </c>
      <c r="J825" t="str">
        <f t="shared" si="77"/>
        <v>https://www.euro-millions.com/results/14-08-2015</v>
      </c>
      <c r="K825" t="str">
        <f t="shared" si="76"/>
        <v>http://lottery.merseyworld.com/Euro/archive/Lott824.html</v>
      </c>
    </row>
    <row r="826" spans="1:11" x14ac:dyDescent="0.25">
      <c r="A826">
        <v>825</v>
      </c>
      <c r="B826" s="2" t="str">
        <f t="shared" si="72"/>
        <v>18-08-2015</v>
      </c>
      <c r="C826" t="s">
        <v>16</v>
      </c>
      <c r="D826">
        <v>18</v>
      </c>
      <c r="E826" t="str">
        <f t="shared" si="73"/>
        <v>18</v>
      </c>
      <c r="F826">
        <v>8</v>
      </c>
      <c r="G826" t="str">
        <f t="shared" si="74"/>
        <v>08</v>
      </c>
      <c r="H826">
        <v>2015</v>
      </c>
      <c r="I826" t="str">
        <f t="shared" si="75"/>
        <v>201508</v>
      </c>
      <c r="J826" t="str">
        <f t="shared" si="77"/>
        <v>https://www.euro-millions.com/results/18-08-2015</v>
      </c>
      <c r="K826" t="str">
        <f t="shared" si="76"/>
        <v>http://lottery.merseyworld.com/Euro/archive/Lott825.html</v>
      </c>
    </row>
    <row r="827" spans="1:11" x14ac:dyDescent="0.25">
      <c r="A827">
        <v>826</v>
      </c>
      <c r="B827" s="2" t="str">
        <f t="shared" si="72"/>
        <v>21-08-2015</v>
      </c>
      <c r="C827" t="s">
        <v>10</v>
      </c>
      <c r="D827">
        <v>21</v>
      </c>
      <c r="E827" t="str">
        <f t="shared" si="73"/>
        <v>21</v>
      </c>
      <c r="F827">
        <v>8</v>
      </c>
      <c r="G827" t="str">
        <f t="shared" si="74"/>
        <v>08</v>
      </c>
      <c r="H827">
        <v>2015</v>
      </c>
      <c r="I827" t="str">
        <f t="shared" si="75"/>
        <v>201508</v>
      </c>
      <c r="J827" t="str">
        <f t="shared" si="77"/>
        <v>https://www.euro-millions.com/results/21-08-2015</v>
      </c>
      <c r="K827" t="str">
        <f t="shared" si="76"/>
        <v>http://lottery.merseyworld.com/Euro/archive/Lott826.html</v>
      </c>
    </row>
    <row r="828" spans="1:11" x14ac:dyDescent="0.25">
      <c r="A828">
        <v>827</v>
      </c>
      <c r="B828" s="2" t="str">
        <f t="shared" si="72"/>
        <v>25-08-2015</v>
      </c>
      <c r="C828" t="s">
        <v>16</v>
      </c>
      <c r="D828">
        <v>25</v>
      </c>
      <c r="E828" t="str">
        <f t="shared" si="73"/>
        <v>25</v>
      </c>
      <c r="F828">
        <v>8</v>
      </c>
      <c r="G828" t="str">
        <f t="shared" si="74"/>
        <v>08</v>
      </c>
      <c r="H828">
        <v>2015</v>
      </c>
      <c r="I828" t="str">
        <f t="shared" si="75"/>
        <v>201508</v>
      </c>
      <c r="J828" t="str">
        <f t="shared" si="77"/>
        <v>https://www.euro-millions.com/results/25-08-2015</v>
      </c>
      <c r="K828" t="str">
        <f t="shared" si="76"/>
        <v>http://lottery.merseyworld.com/Euro/archive/Lott827.html</v>
      </c>
    </row>
    <row r="829" spans="1:11" x14ac:dyDescent="0.25">
      <c r="A829">
        <v>828</v>
      </c>
      <c r="B829" s="2" t="str">
        <f t="shared" si="72"/>
        <v>28-08-2015</v>
      </c>
      <c r="C829" t="s">
        <v>10</v>
      </c>
      <c r="D829">
        <v>28</v>
      </c>
      <c r="E829" t="str">
        <f t="shared" si="73"/>
        <v>28</v>
      </c>
      <c r="F829">
        <v>8</v>
      </c>
      <c r="G829" t="str">
        <f t="shared" si="74"/>
        <v>08</v>
      </c>
      <c r="H829">
        <v>2015</v>
      </c>
      <c r="I829" t="str">
        <f t="shared" si="75"/>
        <v>201508</v>
      </c>
      <c r="J829" t="str">
        <f t="shared" si="77"/>
        <v>https://www.euro-millions.com/results/28-08-2015</v>
      </c>
      <c r="K829" t="str">
        <f t="shared" si="76"/>
        <v>http://lottery.merseyworld.com/Euro/archive/Lott828.html</v>
      </c>
    </row>
    <row r="830" spans="1:11" x14ac:dyDescent="0.25">
      <c r="A830">
        <v>829</v>
      </c>
      <c r="B830" s="2" t="str">
        <f t="shared" si="72"/>
        <v>01-09-2015</v>
      </c>
      <c r="C830" t="s">
        <v>16</v>
      </c>
      <c r="D830">
        <v>1</v>
      </c>
      <c r="E830" t="str">
        <f t="shared" si="73"/>
        <v>01</v>
      </c>
      <c r="F830">
        <v>9</v>
      </c>
      <c r="G830" t="str">
        <f t="shared" si="74"/>
        <v>09</v>
      </c>
      <c r="H830">
        <v>2015</v>
      </c>
      <c r="I830" t="str">
        <f t="shared" si="75"/>
        <v>201509</v>
      </c>
      <c r="J830" t="str">
        <f t="shared" si="77"/>
        <v>https://www.euro-millions.com/results/01-09-2015</v>
      </c>
      <c r="K830" t="str">
        <f t="shared" si="76"/>
        <v>http://lottery.merseyworld.com/Euro/archive/Lott829.html</v>
      </c>
    </row>
    <row r="831" spans="1:11" x14ac:dyDescent="0.25">
      <c r="A831">
        <v>830</v>
      </c>
      <c r="B831" s="2" t="str">
        <f t="shared" si="72"/>
        <v>04-09-2015</v>
      </c>
      <c r="C831" t="s">
        <v>10</v>
      </c>
      <c r="D831">
        <v>4</v>
      </c>
      <c r="E831" t="str">
        <f t="shared" si="73"/>
        <v>04</v>
      </c>
      <c r="F831">
        <v>9</v>
      </c>
      <c r="G831" t="str">
        <f t="shared" si="74"/>
        <v>09</v>
      </c>
      <c r="H831">
        <v>2015</v>
      </c>
      <c r="I831" t="str">
        <f t="shared" si="75"/>
        <v>201509</v>
      </c>
      <c r="J831" t="str">
        <f t="shared" si="77"/>
        <v>https://www.euro-millions.com/results/04-09-2015</v>
      </c>
      <c r="K831" t="str">
        <f t="shared" si="76"/>
        <v>http://lottery.merseyworld.com/Euro/archive/Lott830.html</v>
      </c>
    </row>
    <row r="832" spans="1:11" x14ac:dyDescent="0.25">
      <c r="A832">
        <v>831</v>
      </c>
      <c r="B832" s="2" t="str">
        <f t="shared" si="72"/>
        <v>08-09-2015</v>
      </c>
      <c r="C832" t="s">
        <v>16</v>
      </c>
      <c r="D832">
        <v>8</v>
      </c>
      <c r="E832" t="str">
        <f t="shared" si="73"/>
        <v>08</v>
      </c>
      <c r="F832">
        <v>9</v>
      </c>
      <c r="G832" t="str">
        <f t="shared" si="74"/>
        <v>09</v>
      </c>
      <c r="H832">
        <v>2015</v>
      </c>
      <c r="I832" t="str">
        <f t="shared" si="75"/>
        <v>201509</v>
      </c>
      <c r="J832" t="str">
        <f t="shared" si="77"/>
        <v>https://www.euro-millions.com/results/08-09-2015</v>
      </c>
      <c r="K832" t="str">
        <f t="shared" si="76"/>
        <v>http://lottery.merseyworld.com/Euro/archive/Lott831.html</v>
      </c>
    </row>
    <row r="833" spans="1:11" x14ac:dyDescent="0.25">
      <c r="A833">
        <v>832</v>
      </c>
      <c r="B833" s="2" t="str">
        <f t="shared" si="72"/>
        <v>11-09-2015</v>
      </c>
      <c r="C833" t="s">
        <v>10</v>
      </c>
      <c r="D833">
        <v>11</v>
      </c>
      <c r="E833" t="str">
        <f t="shared" si="73"/>
        <v>11</v>
      </c>
      <c r="F833">
        <v>9</v>
      </c>
      <c r="G833" t="str">
        <f t="shared" si="74"/>
        <v>09</v>
      </c>
      <c r="H833">
        <v>2015</v>
      </c>
      <c r="I833" t="str">
        <f t="shared" si="75"/>
        <v>201509</v>
      </c>
      <c r="J833" t="str">
        <f t="shared" si="77"/>
        <v>https://www.euro-millions.com/results/11-09-2015</v>
      </c>
      <c r="K833" t="str">
        <f t="shared" si="76"/>
        <v>http://lottery.merseyworld.com/Euro/archive/Lott832.html</v>
      </c>
    </row>
    <row r="834" spans="1:11" x14ac:dyDescent="0.25">
      <c r="A834">
        <v>833</v>
      </c>
      <c r="B834" s="2" t="str">
        <f t="shared" si="72"/>
        <v>15-09-2015</v>
      </c>
      <c r="C834" t="s">
        <v>16</v>
      </c>
      <c r="D834">
        <v>15</v>
      </c>
      <c r="E834" t="str">
        <f t="shared" si="73"/>
        <v>15</v>
      </c>
      <c r="F834">
        <v>9</v>
      </c>
      <c r="G834" t="str">
        <f t="shared" si="74"/>
        <v>09</v>
      </c>
      <c r="H834">
        <v>2015</v>
      </c>
      <c r="I834" t="str">
        <f t="shared" si="75"/>
        <v>201509</v>
      </c>
      <c r="J834" t="str">
        <f t="shared" si="77"/>
        <v>https://www.euro-millions.com/results/15-09-2015</v>
      </c>
      <c r="K834" t="str">
        <f t="shared" si="76"/>
        <v>http://lottery.merseyworld.com/Euro/archive/Lott833.html</v>
      </c>
    </row>
    <row r="835" spans="1:11" x14ac:dyDescent="0.25">
      <c r="A835">
        <v>834</v>
      </c>
      <c r="B835" s="2" t="str">
        <f t="shared" ref="B835:B898" si="78">CONCATENATE(E835,"-",G835,"-",H835)</f>
        <v>18-09-2015</v>
      </c>
      <c r="C835" t="s">
        <v>10</v>
      </c>
      <c r="D835">
        <v>18</v>
      </c>
      <c r="E835" t="str">
        <f t="shared" ref="E835:E898" si="79">CONCATENATE(IF(LEN(D835)=1,CONCATENATE("0",D835),D835))</f>
        <v>18</v>
      </c>
      <c r="F835">
        <v>9</v>
      </c>
      <c r="G835" t="str">
        <f t="shared" ref="G835:G898" si="80">CONCATENATE(IF(LEN(F835)=1,CONCATENATE("0",F835),F835))</f>
        <v>09</v>
      </c>
      <c r="H835">
        <v>2015</v>
      </c>
      <c r="I835" t="str">
        <f t="shared" ref="I835:I898" si="81">CONCATENATE(H835,IF(LEN(F835)=1,CONCATENATE("0",F835),F835))</f>
        <v>201509</v>
      </c>
      <c r="J835" t="str">
        <f t="shared" si="77"/>
        <v>https://www.euro-millions.com/results/18-09-2015</v>
      </c>
      <c r="K835" t="str">
        <f t="shared" ref="K835:K898" si="82">CONCATENATE("http://lottery.merseyworld.com/Euro/archive/Lott",RIGHT(CONCATENATE("00",A835),3),".html")</f>
        <v>http://lottery.merseyworld.com/Euro/archive/Lott834.html</v>
      </c>
    </row>
    <row r="836" spans="1:11" x14ac:dyDescent="0.25">
      <c r="A836">
        <v>835</v>
      </c>
      <c r="B836" s="2" t="str">
        <f t="shared" si="78"/>
        <v>22-09-2015</v>
      </c>
      <c r="C836" t="s">
        <v>16</v>
      </c>
      <c r="D836">
        <v>22</v>
      </c>
      <c r="E836" t="str">
        <f t="shared" si="79"/>
        <v>22</v>
      </c>
      <c r="F836">
        <v>9</v>
      </c>
      <c r="G836" t="str">
        <f t="shared" si="80"/>
        <v>09</v>
      </c>
      <c r="H836">
        <v>2015</v>
      </c>
      <c r="I836" t="str">
        <f t="shared" si="81"/>
        <v>201509</v>
      </c>
      <c r="J836" t="str">
        <f t="shared" si="77"/>
        <v>https://www.euro-millions.com/results/22-09-2015</v>
      </c>
      <c r="K836" t="str">
        <f t="shared" si="82"/>
        <v>http://lottery.merseyworld.com/Euro/archive/Lott835.html</v>
      </c>
    </row>
    <row r="837" spans="1:11" x14ac:dyDescent="0.25">
      <c r="A837">
        <v>836</v>
      </c>
      <c r="B837" s="2" t="str">
        <f t="shared" si="78"/>
        <v>25-09-2015</v>
      </c>
      <c r="C837" t="s">
        <v>10</v>
      </c>
      <c r="D837">
        <v>25</v>
      </c>
      <c r="E837" t="str">
        <f t="shared" si="79"/>
        <v>25</v>
      </c>
      <c r="F837">
        <v>9</v>
      </c>
      <c r="G837" t="str">
        <f t="shared" si="80"/>
        <v>09</v>
      </c>
      <c r="H837">
        <v>2015</v>
      </c>
      <c r="I837" t="str">
        <f t="shared" si="81"/>
        <v>201509</v>
      </c>
      <c r="J837" t="str">
        <f t="shared" si="77"/>
        <v>https://www.euro-millions.com/results/25-09-2015</v>
      </c>
      <c r="K837" t="str">
        <f t="shared" si="82"/>
        <v>http://lottery.merseyworld.com/Euro/archive/Lott836.html</v>
      </c>
    </row>
    <row r="838" spans="1:11" x14ac:dyDescent="0.25">
      <c r="A838">
        <v>837</v>
      </c>
      <c r="B838" s="2" t="str">
        <f t="shared" si="78"/>
        <v>29-09-2015</v>
      </c>
      <c r="C838" t="s">
        <v>16</v>
      </c>
      <c r="D838">
        <v>29</v>
      </c>
      <c r="E838" t="str">
        <f t="shared" si="79"/>
        <v>29</v>
      </c>
      <c r="F838">
        <v>9</v>
      </c>
      <c r="G838" t="str">
        <f t="shared" si="80"/>
        <v>09</v>
      </c>
      <c r="H838">
        <v>2015</v>
      </c>
      <c r="I838" t="str">
        <f t="shared" si="81"/>
        <v>201509</v>
      </c>
      <c r="J838" t="str">
        <f t="shared" si="77"/>
        <v>https://www.euro-millions.com/results/29-09-2015</v>
      </c>
      <c r="K838" t="str">
        <f t="shared" si="82"/>
        <v>http://lottery.merseyworld.com/Euro/archive/Lott837.html</v>
      </c>
    </row>
    <row r="839" spans="1:11" x14ac:dyDescent="0.25">
      <c r="A839">
        <v>838</v>
      </c>
      <c r="B839" s="2" t="str">
        <f t="shared" si="78"/>
        <v>02-10-2015</v>
      </c>
      <c r="C839" t="s">
        <v>10</v>
      </c>
      <c r="D839">
        <v>2</v>
      </c>
      <c r="E839" t="str">
        <f t="shared" si="79"/>
        <v>02</v>
      </c>
      <c r="F839">
        <v>10</v>
      </c>
      <c r="G839" t="str">
        <f t="shared" si="80"/>
        <v>10</v>
      </c>
      <c r="H839">
        <v>2015</v>
      </c>
      <c r="I839" t="str">
        <f t="shared" si="81"/>
        <v>201510</v>
      </c>
      <c r="J839" t="str">
        <f t="shared" si="77"/>
        <v>https://www.euro-millions.com/results/02-10-2015</v>
      </c>
      <c r="K839" t="str">
        <f t="shared" si="82"/>
        <v>http://lottery.merseyworld.com/Euro/archive/Lott838.html</v>
      </c>
    </row>
    <row r="840" spans="1:11" x14ac:dyDescent="0.25">
      <c r="A840">
        <v>839</v>
      </c>
      <c r="B840" s="2" t="str">
        <f t="shared" si="78"/>
        <v>06-10-2015</v>
      </c>
      <c r="C840" t="s">
        <v>16</v>
      </c>
      <c r="D840">
        <v>6</v>
      </c>
      <c r="E840" t="str">
        <f t="shared" si="79"/>
        <v>06</v>
      </c>
      <c r="F840">
        <v>10</v>
      </c>
      <c r="G840" t="str">
        <f t="shared" si="80"/>
        <v>10</v>
      </c>
      <c r="H840">
        <v>2015</v>
      </c>
      <c r="I840" t="str">
        <f t="shared" si="81"/>
        <v>201510</v>
      </c>
      <c r="J840" t="str">
        <f t="shared" ref="J840:J903" si="83">CONCATENATE("https://www.euro-millions.com/results/",E840,"-",G840,"-",H840)</f>
        <v>https://www.euro-millions.com/results/06-10-2015</v>
      </c>
      <c r="K840" t="str">
        <f t="shared" si="82"/>
        <v>http://lottery.merseyworld.com/Euro/archive/Lott839.html</v>
      </c>
    </row>
    <row r="841" spans="1:11" x14ac:dyDescent="0.25">
      <c r="A841">
        <v>840</v>
      </c>
      <c r="B841" s="2" t="str">
        <f t="shared" si="78"/>
        <v>09-10-2015</v>
      </c>
      <c r="C841" t="s">
        <v>10</v>
      </c>
      <c r="D841">
        <v>9</v>
      </c>
      <c r="E841" t="str">
        <f t="shared" si="79"/>
        <v>09</v>
      </c>
      <c r="F841">
        <v>10</v>
      </c>
      <c r="G841" t="str">
        <f t="shared" si="80"/>
        <v>10</v>
      </c>
      <c r="H841">
        <v>2015</v>
      </c>
      <c r="I841" t="str">
        <f t="shared" si="81"/>
        <v>201510</v>
      </c>
      <c r="J841" t="str">
        <f t="shared" si="83"/>
        <v>https://www.euro-millions.com/results/09-10-2015</v>
      </c>
      <c r="K841" t="str">
        <f t="shared" si="82"/>
        <v>http://lottery.merseyworld.com/Euro/archive/Lott840.html</v>
      </c>
    </row>
    <row r="842" spans="1:11" x14ac:dyDescent="0.25">
      <c r="A842">
        <v>841</v>
      </c>
      <c r="B842" s="2" t="str">
        <f t="shared" si="78"/>
        <v>13-10-2015</v>
      </c>
      <c r="C842" t="s">
        <v>16</v>
      </c>
      <c r="D842">
        <v>13</v>
      </c>
      <c r="E842" t="str">
        <f t="shared" si="79"/>
        <v>13</v>
      </c>
      <c r="F842">
        <v>10</v>
      </c>
      <c r="G842" t="str">
        <f t="shared" si="80"/>
        <v>10</v>
      </c>
      <c r="H842">
        <v>2015</v>
      </c>
      <c r="I842" t="str">
        <f t="shared" si="81"/>
        <v>201510</v>
      </c>
      <c r="J842" t="str">
        <f t="shared" si="83"/>
        <v>https://www.euro-millions.com/results/13-10-2015</v>
      </c>
      <c r="K842" t="str">
        <f t="shared" si="82"/>
        <v>http://lottery.merseyworld.com/Euro/archive/Lott841.html</v>
      </c>
    </row>
    <row r="843" spans="1:11" x14ac:dyDescent="0.25">
      <c r="A843">
        <v>842</v>
      </c>
      <c r="B843" s="2" t="str">
        <f t="shared" si="78"/>
        <v>16-10-2015</v>
      </c>
      <c r="C843" t="s">
        <v>10</v>
      </c>
      <c r="D843">
        <v>16</v>
      </c>
      <c r="E843" t="str">
        <f t="shared" si="79"/>
        <v>16</v>
      </c>
      <c r="F843">
        <v>10</v>
      </c>
      <c r="G843" t="str">
        <f t="shared" si="80"/>
        <v>10</v>
      </c>
      <c r="H843">
        <v>2015</v>
      </c>
      <c r="I843" t="str">
        <f t="shared" si="81"/>
        <v>201510</v>
      </c>
      <c r="J843" t="str">
        <f t="shared" si="83"/>
        <v>https://www.euro-millions.com/results/16-10-2015</v>
      </c>
      <c r="K843" t="str">
        <f t="shared" si="82"/>
        <v>http://lottery.merseyworld.com/Euro/archive/Lott842.html</v>
      </c>
    </row>
    <row r="844" spans="1:11" x14ac:dyDescent="0.25">
      <c r="A844">
        <v>843</v>
      </c>
      <c r="B844" s="2" t="str">
        <f t="shared" si="78"/>
        <v>20-10-2015</v>
      </c>
      <c r="C844" t="s">
        <v>16</v>
      </c>
      <c r="D844">
        <v>20</v>
      </c>
      <c r="E844" t="str">
        <f t="shared" si="79"/>
        <v>20</v>
      </c>
      <c r="F844">
        <v>10</v>
      </c>
      <c r="G844" t="str">
        <f t="shared" si="80"/>
        <v>10</v>
      </c>
      <c r="H844">
        <v>2015</v>
      </c>
      <c r="I844" t="str">
        <f t="shared" si="81"/>
        <v>201510</v>
      </c>
      <c r="J844" t="str">
        <f t="shared" si="83"/>
        <v>https://www.euro-millions.com/results/20-10-2015</v>
      </c>
      <c r="K844" t="str">
        <f t="shared" si="82"/>
        <v>http://lottery.merseyworld.com/Euro/archive/Lott843.html</v>
      </c>
    </row>
    <row r="845" spans="1:11" x14ac:dyDescent="0.25">
      <c r="A845">
        <v>844</v>
      </c>
      <c r="B845" s="2" t="str">
        <f t="shared" si="78"/>
        <v>23-10-2015</v>
      </c>
      <c r="C845" t="s">
        <v>10</v>
      </c>
      <c r="D845">
        <v>23</v>
      </c>
      <c r="E845" t="str">
        <f t="shared" si="79"/>
        <v>23</v>
      </c>
      <c r="F845">
        <v>10</v>
      </c>
      <c r="G845" t="str">
        <f t="shared" si="80"/>
        <v>10</v>
      </c>
      <c r="H845">
        <v>2015</v>
      </c>
      <c r="I845" t="str">
        <f t="shared" si="81"/>
        <v>201510</v>
      </c>
      <c r="J845" t="str">
        <f t="shared" si="83"/>
        <v>https://www.euro-millions.com/results/23-10-2015</v>
      </c>
      <c r="K845" t="str">
        <f t="shared" si="82"/>
        <v>http://lottery.merseyworld.com/Euro/archive/Lott844.html</v>
      </c>
    </row>
    <row r="846" spans="1:11" x14ac:dyDescent="0.25">
      <c r="A846">
        <v>845</v>
      </c>
      <c r="B846" s="2" t="str">
        <f t="shared" si="78"/>
        <v>27-10-2015</v>
      </c>
      <c r="C846" t="s">
        <v>16</v>
      </c>
      <c r="D846">
        <v>27</v>
      </c>
      <c r="E846" t="str">
        <f t="shared" si="79"/>
        <v>27</v>
      </c>
      <c r="F846">
        <v>10</v>
      </c>
      <c r="G846" t="str">
        <f t="shared" si="80"/>
        <v>10</v>
      </c>
      <c r="H846">
        <v>2015</v>
      </c>
      <c r="I846" t="str">
        <f t="shared" si="81"/>
        <v>201510</v>
      </c>
      <c r="J846" t="str">
        <f t="shared" si="83"/>
        <v>https://www.euro-millions.com/results/27-10-2015</v>
      </c>
      <c r="K846" t="str">
        <f t="shared" si="82"/>
        <v>http://lottery.merseyworld.com/Euro/archive/Lott845.html</v>
      </c>
    </row>
    <row r="847" spans="1:11" x14ac:dyDescent="0.25">
      <c r="A847">
        <v>846</v>
      </c>
      <c r="B847" s="2" t="str">
        <f t="shared" si="78"/>
        <v>30-10-2015</v>
      </c>
      <c r="C847" t="s">
        <v>10</v>
      </c>
      <c r="D847">
        <v>30</v>
      </c>
      <c r="E847" t="str">
        <f t="shared" si="79"/>
        <v>30</v>
      </c>
      <c r="F847">
        <v>10</v>
      </c>
      <c r="G847" t="str">
        <f t="shared" si="80"/>
        <v>10</v>
      </c>
      <c r="H847">
        <v>2015</v>
      </c>
      <c r="I847" t="str">
        <f t="shared" si="81"/>
        <v>201510</v>
      </c>
      <c r="J847" t="str">
        <f t="shared" si="83"/>
        <v>https://www.euro-millions.com/results/30-10-2015</v>
      </c>
      <c r="K847" t="str">
        <f t="shared" si="82"/>
        <v>http://lottery.merseyworld.com/Euro/archive/Lott846.html</v>
      </c>
    </row>
    <row r="848" spans="1:11" x14ac:dyDescent="0.25">
      <c r="A848">
        <v>847</v>
      </c>
      <c r="B848" s="2" t="str">
        <f t="shared" si="78"/>
        <v>03-11-2015</v>
      </c>
      <c r="C848" t="s">
        <v>16</v>
      </c>
      <c r="D848">
        <v>3</v>
      </c>
      <c r="E848" t="str">
        <f t="shared" si="79"/>
        <v>03</v>
      </c>
      <c r="F848">
        <v>11</v>
      </c>
      <c r="G848" t="str">
        <f t="shared" si="80"/>
        <v>11</v>
      </c>
      <c r="H848">
        <v>2015</v>
      </c>
      <c r="I848" t="str">
        <f t="shared" si="81"/>
        <v>201511</v>
      </c>
      <c r="J848" t="str">
        <f t="shared" si="83"/>
        <v>https://www.euro-millions.com/results/03-11-2015</v>
      </c>
      <c r="K848" t="str">
        <f t="shared" si="82"/>
        <v>http://lottery.merseyworld.com/Euro/archive/Lott847.html</v>
      </c>
    </row>
    <row r="849" spans="1:11" x14ac:dyDescent="0.25">
      <c r="A849">
        <v>848</v>
      </c>
      <c r="B849" s="2" t="str">
        <f t="shared" si="78"/>
        <v>06-11-2015</v>
      </c>
      <c r="C849" t="s">
        <v>10</v>
      </c>
      <c r="D849">
        <v>6</v>
      </c>
      <c r="E849" t="str">
        <f t="shared" si="79"/>
        <v>06</v>
      </c>
      <c r="F849">
        <v>11</v>
      </c>
      <c r="G849" t="str">
        <f t="shared" si="80"/>
        <v>11</v>
      </c>
      <c r="H849">
        <v>2015</v>
      </c>
      <c r="I849" t="str">
        <f t="shared" si="81"/>
        <v>201511</v>
      </c>
      <c r="J849" t="str">
        <f t="shared" si="83"/>
        <v>https://www.euro-millions.com/results/06-11-2015</v>
      </c>
      <c r="K849" t="str">
        <f t="shared" si="82"/>
        <v>http://lottery.merseyworld.com/Euro/archive/Lott848.html</v>
      </c>
    </row>
    <row r="850" spans="1:11" x14ac:dyDescent="0.25">
      <c r="A850">
        <v>849</v>
      </c>
      <c r="B850" s="2" t="str">
        <f t="shared" si="78"/>
        <v>10-11-2015</v>
      </c>
      <c r="C850" t="s">
        <v>16</v>
      </c>
      <c r="D850">
        <v>10</v>
      </c>
      <c r="E850" t="str">
        <f t="shared" si="79"/>
        <v>10</v>
      </c>
      <c r="F850">
        <v>11</v>
      </c>
      <c r="G850" t="str">
        <f t="shared" si="80"/>
        <v>11</v>
      </c>
      <c r="H850">
        <v>2015</v>
      </c>
      <c r="I850" t="str">
        <f t="shared" si="81"/>
        <v>201511</v>
      </c>
      <c r="J850" t="str">
        <f t="shared" si="83"/>
        <v>https://www.euro-millions.com/results/10-11-2015</v>
      </c>
      <c r="K850" t="str">
        <f t="shared" si="82"/>
        <v>http://lottery.merseyworld.com/Euro/archive/Lott849.html</v>
      </c>
    </row>
    <row r="851" spans="1:11" x14ac:dyDescent="0.25">
      <c r="A851">
        <v>850</v>
      </c>
      <c r="B851" s="2" t="str">
        <f t="shared" si="78"/>
        <v>13-11-2015</v>
      </c>
      <c r="C851" t="s">
        <v>10</v>
      </c>
      <c r="D851">
        <v>13</v>
      </c>
      <c r="E851" t="str">
        <f t="shared" si="79"/>
        <v>13</v>
      </c>
      <c r="F851">
        <v>11</v>
      </c>
      <c r="G851" t="str">
        <f t="shared" si="80"/>
        <v>11</v>
      </c>
      <c r="H851">
        <v>2015</v>
      </c>
      <c r="I851" t="str">
        <f t="shared" si="81"/>
        <v>201511</v>
      </c>
      <c r="J851" t="str">
        <f t="shared" si="83"/>
        <v>https://www.euro-millions.com/results/13-11-2015</v>
      </c>
      <c r="K851" t="str">
        <f t="shared" si="82"/>
        <v>http://lottery.merseyworld.com/Euro/archive/Lott850.html</v>
      </c>
    </row>
    <row r="852" spans="1:11" x14ac:dyDescent="0.25">
      <c r="A852">
        <v>851</v>
      </c>
      <c r="B852" s="2" t="str">
        <f t="shared" si="78"/>
        <v>17-11-2015</v>
      </c>
      <c r="C852" t="s">
        <v>16</v>
      </c>
      <c r="D852">
        <v>17</v>
      </c>
      <c r="E852" t="str">
        <f t="shared" si="79"/>
        <v>17</v>
      </c>
      <c r="F852">
        <v>11</v>
      </c>
      <c r="G852" t="str">
        <f t="shared" si="80"/>
        <v>11</v>
      </c>
      <c r="H852">
        <v>2015</v>
      </c>
      <c r="I852" t="str">
        <f t="shared" si="81"/>
        <v>201511</v>
      </c>
      <c r="J852" t="str">
        <f t="shared" si="83"/>
        <v>https://www.euro-millions.com/results/17-11-2015</v>
      </c>
      <c r="K852" t="str">
        <f t="shared" si="82"/>
        <v>http://lottery.merseyworld.com/Euro/archive/Lott851.html</v>
      </c>
    </row>
    <row r="853" spans="1:11" x14ac:dyDescent="0.25">
      <c r="A853">
        <v>852</v>
      </c>
      <c r="B853" s="2" t="str">
        <f t="shared" si="78"/>
        <v>20-11-2015</v>
      </c>
      <c r="C853" t="s">
        <v>10</v>
      </c>
      <c r="D853">
        <v>20</v>
      </c>
      <c r="E853" t="str">
        <f t="shared" si="79"/>
        <v>20</v>
      </c>
      <c r="F853">
        <v>11</v>
      </c>
      <c r="G853" t="str">
        <f t="shared" si="80"/>
        <v>11</v>
      </c>
      <c r="H853">
        <v>2015</v>
      </c>
      <c r="I853" t="str">
        <f t="shared" si="81"/>
        <v>201511</v>
      </c>
      <c r="J853" t="str">
        <f t="shared" si="83"/>
        <v>https://www.euro-millions.com/results/20-11-2015</v>
      </c>
      <c r="K853" t="str">
        <f t="shared" si="82"/>
        <v>http://lottery.merseyworld.com/Euro/archive/Lott852.html</v>
      </c>
    </row>
    <row r="854" spans="1:11" x14ac:dyDescent="0.25">
      <c r="A854">
        <v>853</v>
      </c>
      <c r="B854" s="2" t="str">
        <f t="shared" si="78"/>
        <v>24-11-2015</v>
      </c>
      <c r="C854" t="s">
        <v>16</v>
      </c>
      <c r="D854">
        <v>24</v>
      </c>
      <c r="E854" t="str">
        <f t="shared" si="79"/>
        <v>24</v>
      </c>
      <c r="F854">
        <v>11</v>
      </c>
      <c r="G854" t="str">
        <f t="shared" si="80"/>
        <v>11</v>
      </c>
      <c r="H854">
        <v>2015</v>
      </c>
      <c r="I854" t="str">
        <f t="shared" si="81"/>
        <v>201511</v>
      </c>
      <c r="J854" t="str">
        <f t="shared" si="83"/>
        <v>https://www.euro-millions.com/results/24-11-2015</v>
      </c>
      <c r="K854" t="str">
        <f t="shared" si="82"/>
        <v>http://lottery.merseyworld.com/Euro/archive/Lott853.html</v>
      </c>
    </row>
    <row r="855" spans="1:11" x14ac:dyDescent="0.25">
      <c r="A855">
        <v>854</v>
      </c>
      <c r="B855" s="2" t="str">
        <f t="shared" si="78"/>
        <v>27-11-2015</v>
      </c>
      <c r="C855" t="s">
        <v>10</v>
      </c>
      <c r="D855">
        <v>27</v>
      </c>
      <c r="E855" t="str">
        <f t="shared" si="79"/>
        <v>27</v>
      </c>
      <c r="F855">
        <v>11</v>
      </c>
      <c r="G855" t="str">
        <f t="shared" si="80"/>
        <v>11</v>
      </c>
      <c r="H855">
        <v>2015</v>
      </c>
      <c r="I855" t="str">
        <f t="shared" si="81"/>
        <v>201511</v>
      </c>
      <c r="J855" t="str">
        <f t="shared" si="83"/>
        <v>https://www.euro-millions.com/results/27-11-2015</v>
      </c>
      <c r="K855" t="str">
        <f t="shared" si="82"/>
        <v>http://lottery.merseyworld.com/Euro/archive/Lott854.html</v>
      </c>
    </row>
    <row r="856" spans="1:11" x14ac:dyDescent="0.25">
      <c r="A856">
        <v>855</v>
      </c>
      <c r="B856" s="2" t="str">
        <f t="shared" si="78"/>
        <v>01-12-2015</v>
      </c>
      <c r="C856" t="s">
        <v>16</v>
      </c>
      <c r="D856">
        <v>1</v>
      </c>
      <c r="E856" t="str">
        <f t="shared" si="79"/>
        <v>01</v>
      </c>
      <c r="F856">
        <v>12</v>
      </c>
      <c r="G856" t="str">
        <f t="shared" si="80"/>
        <v>12</v>
      </c>
      <c r="H856">
        <v>2015</v>
      </c>
      <c r="I856" t="str">
        <f t="shared" si="81"/>
        <v>201512</v>
      </c>
      <c r="J856" t="str">
        <f t="shared" si="83"/>
        <v>https://www.euro-millions.com/results/01-12-2015</v>
      </c>
      <c r="K856" t="str">
        <f t="shared" si="82"/>
        <v>http://lottery.merseyworld.com/Euro/archive/Lott855.html</v>
      </c>
    </row>
    <row r="857" spans="1:11" x14ac:dyDescent="0.25">
      <c r="A857">
        <v>856</v>
      </c>
      <c r="B857" s="2" t="str">
        <f t="shared" si="78"/>
        <v>04-12-2015</v>
      </c>
      <c r="C857" t="s">
        <v>10</v>
      </c>
      <c r="D857">
        <v>4</v>
      </c>
      <c r="E857" t="str">
        <f t="shared" si="79"/>
        <v>04</v>
      </c>
      <c r="F857">
        <v>12</v>
      </c>
      <c r="G857" t="str">
        <f t="shared" si="80"/>
        <v>12</v>
      </c>
      <c r="H857">
        <v>2015</v>
      </c>
      <c r="I857" t="str">
        <f t="shared" si="81"/>
        <v>201512</v>
      </c>
      <c r="J857" t="str">
        <f t="shared" si="83"/>
        <v>https://www.euro-millions.com/results/04-12-2015</v>
      </c>
      <c r="K857" t="str">
        <f t="shared" si="82"/>
        <v>http://lottery.merseyworld.com/Euro/archive/Lott856.html</v>
      </c>
    </row>
    <row r="858" spans="1:11" x14ac:dyDescent="0.25">
      <c r="A858">
        <v>857</v>
      </c>
      <c r="B858" s="2" t="str">
        <f t="shared" si="78"/>
        <v>08-12-2015</v>
      </c>
      <c r="C858" t="s">
        <v>16</v>
      </c>
      <c r="D858">
        <v>8</v>
      </c>
      <c r="E858" t="str">
        <f t="shared" si="79"/>
        <v>08</v>
      </c>
      <c r="F858">
        <v>12</v>
      </c>
      <c r="G858" t="str">
        <f t="shared" si="80"/>
        <v>12</v>
      </c>
      <c r="H858">
        <v>2015</v>
      </c>
      <c r="I858" t="str">
        <f t="shared" si="81"/>
        <v>201512</v>
      </c>
      <c r="J858" t="str">
        <f t="shared" si="83"/>
        <v>https://www.euro-millions.com/results/08-12-2015</v>
      </c>
      <c r="K858" t="str">
        <f t="shared" si="82"/>
        <v>http://lottery.merseyworld.com/Euro/archive/Lott857.html</v>
      </c>
    </row>
    <row r="859" spans="1:11" x14ac:dyDescent="0.25">
      <c r="A859">
        <v>858</v>
      </c>
      <c r="B859" s="2" t="str">
        <f t="shared" si="78"/>
        <v>11-12-2015</v>
      </c>
      <c r="C859" t="s">
        <v>10</v>
      </c>
      <c r="D859">
        <v>11</v>
      </c>
      <c r="E859" t="str">
        <f t="shared" si="79"/>
        <v>11</v>
      </c>
      <c r="F859">
        <v>12</v>
      </c>
      <c r="G859" t="str">
        <f t="shared" si="80"/>
        <v>12</v>
      </c>
      <c r="H859">
        <v>2015</v>
      </c>
      <c r="I859" t="str">
        <f t="shared" si="81"/>
        <v>201512</v>
      </c>
      <c r="J859" t="str">
        <f t="shared" si="83"/>
        <v>https://www.euro-millions.com/results/11-12-2015</v>
      </c>
      <c r="K859" t="str">
        <f t="shared" si="82"/>
        <v>http://lottery.merseyworld.com/Euro/archive/Lott858.html</v>
      </c>
    </row>
    <row r="860" spans="1:11" x14ac:dyDescent="0.25">
      <c r="A860">
        <v>859</v>
      </c>
      <c r="B860" s="2" t="str">
        <f t="shared" si="78"/>
        <v>15-12-2015</v>
      </c>
      <c r="C860" t="s">
        <v>16</v>
      </c>
      <c r="D860">
        <v>15</v>
      </c>
      <c r="E860" t="str">
        <f t="shared" si="79"/>
        <v>15</v>
      </c>
      <c r="F860">
        <v>12</v>
      </c>
      <c r="G860" t="str">
        <f t="shared" si="80"/>
        <v>12</v>
      </c>
      <c r="H860">
        <v>2015</v>
      </c>
      <c r="I860" t="str">
        <f t="shared" si="81"/>
        <v>201512</v>
      </c>
      <c r="J860" t="str">
        <f t="shared" si="83"/>
        <v>https://www.euro-millions.com/results/15-12-2015</v>
      </c>
      <c r="K860" t="str">
        <f t="shared" si="82"/>
        <v>http://lottery.merseyworld.com/Euro/archive/Lott859.html</v>
      </c>
    </row>
    <row r="861" spans="1:11" x14ac:dyDescent="0.25">
      <c r="A861">
        <v>860</v>
      </c>
      <c r="B861" s="2" t="str">
        <f t="shared" si="78"/>
        <v>18-12-2015</v>
      </c>
      <c r="C861" t="s">
        <v>10</v>
      </c>
      <c r="D861">
        <v>18</v>
      </c>
      <c r="E861" t="str">
        <f t="shared" si="79"/>
        <v>18</v>
      </c>
      <c r="F861">
        <v>12</v>
      </c>
      <c r="G861" t="str">
        <f t="shared" si="80"/>
        <v>12</v>
      </c>
      <c r="H861">
        <v>2015</v>
      </c>
      <c r="I861" t="str">
        <f t="shared" si="81"/>
        <v>201512</v>
      </c>
      <c r="J861" t="str">
        <f t="shared" si="83"/>
        <v>https://www.euro-millions.com/results/18-12-2015</v>
      </c>
      <c r="K861" t="str">
        <f t="shared" si="82"/>
        <v>http://lottery.merseyworld.com/Euro/archive/Lott860.html</v>
      </c>
    </row>
    <row r="862" spans="1:11" x14ac:dyDescent="0.25">
      <c r="A862">
        <v>861</v>
      </c>
      <c r="B862" s="2" t="str">
        <f t="shared" si="78"/>
        <v>22-12-2015</v>
      </c>
      <c r="C862" t="s">
        <v>16</v>
      </c>
      <c r="D862">
        <v>22</v>
      </c>
      <c r="E862" t="str">
        <f t="shared" si="79"/>
        <v>22</v>
      </c>
      <c r="F862">
        <v>12</v>
      </c>
      <c r="G862" t="str">
        <f t="shared" si="80"/>
        <v>12</v>
      </c>
      <c r="H862">
        <v>2015</v>
      </c>
      <c r="I862" t="str">
        <f t="shared" si="81"/>
        <v>201512</v>
      </c>
      <c r="J862" t="str">
        <f t="shared" si="83"/>
        <v>https://www.euro-millions.com/results/22-12-2015</v>
      </c>
      <c r="K862" t="str">
        <f t="shared" si="82"/>
        <v>http://lottery.merseyworld.com/Euro/archive/Lott861.html</v>
      </c>
    </row>
    <row r="863" spans="1:11" x14ac:dyDescent="0.25">
      <c r="A863">
        <v>862</v>
      </c>
      <c r="B863" s="2" t="str">
        <f t="shared" si="78"/>
        <v>25-12-2015</v>
      </c>
      <c r="C863" t="s">
        <v>10</v>
      </c>
      <c r="D863">
        <v>25</v>
      </c>
      <c r="E863" t="str">
        <f t="shared" si="79"/>
        <v>25</v>
      </c>
      <c r="F863">
        <v>12</v>
      </c>
      <c r="G863" t="str">
        <f t="shared" si="80"/>
        <v>12</v>
      </c>
      <c r="H863">
        <v>2015</v>
      </c>
      <c r="I863" t="str">
        <f t="shared" si="81"/>
        <v>201512</v>
      </c>
      <c r="J863" t="str">
        <f t="shared" si="83"/>
        <v>https://www.euro-millions.com/results/25-12-2015</v>
      </c>
      <c r="K863" t="str">
        <f t="shared" si="82"/>
        <v>http://lottery.merseyworld.com/Euro/archive/Lott862.html</v>
      </c>
    </row>
    <row r="864" spans="1:11" x14ac:dyDescent="0.25">
      <c r="A864">
        <v>863</v>
      </c>
      <c r="B864" s="2" t="str">
        <f t="shared" si="78"/>
        <v>29-12-2015</v>
      </c>
      <c r="C864" t="s">
        <v>16</v>
      </c>
      <c r="D864">
        <v>29</v>
      </c>
      <c r="E864" t="str">
        <f t="shared" si="79"/>
        <v>29</v>
      </c>
      <c r="F864">
        <v>12</v>
      </c>
      <c r="G864" t="str">
        <f t="shared" si="80"/>
        <v>12</v>
      </c>
      <c r="H864">
        <v>2015</v>
      </c>
      <c r="I864" t="str">
        <f t="shared" si="81"/>
        <v>201512</v>
      </c>
      <c r="J864" t="str">
        <f t="shared" si="83"/>
        <v>https://www.euro-millions.com/results/29-12-2015</v>
      </c>
      <c r="K864" t="str">
        <f t="shared" si="82"/>
        <v>http://lottery.merseyworld.com/Euro/archive/Lott863.html</v>
      </c>
    </row>
    <row r="865" spans="1:11" x14ac:dyDescent="0.25">
      <c r="A865">
        <v>864</v>
      </c>
      <c r="B865" s="2" t="str">
        <f t="shared" si="78"/>
        <v>01-01-2016</v>
      </c>
      <c r="C865" t="s">
        <v>10</v>
      </c>
      <c r="D865">
        <v>1</v>
      </c>
      <c r="E865" t="str">
        <f t="shared" si="79"/>
        <v>01</v>
      </c>
      <c r="F865">
        <v>1</v>
      </c>
      <c r="G865" t="str">
        <f t="shared" si="80"/>
        <v>01</v>
      </c>
      <c r="H865">
        <v>2016</v>
      </c>
      <c r="I865" t="str">
        <f t="shared" si="81"/>
        <v>201601</v>
      </c>
      <c r="J865" t="str">
        <f t="shared" si="83"/>
        <v>https://www.euro-millions.com/results/01-01-2016</v>
      </c>
      <c r="K865" t="str">
        <f t="shared" si="82"/>
        <v>http://lottery.merseyworld.com/Euro/archive/Lott864.html</v>
      </c>
    </row>
    <row r="866" spans="1:11" x14ac:dyDescent="0.25">
      <c r="A866">
        <v>865</v>
      </c>
      <c r="B866" s="2" t="str">
        <f t="shared" si="78"/>
        <v>05-01-2016</v>
      </c>
      <c r="C866" t="s">
        <v>16</v>
      </c>
      <c r="D866">
        <v>5</v>
      </c>
      <c r="E866" t="str">
        <f t="shared" si="79"/>
        <v>05</v>
      </c>
      <c r="F866">
        <v>1</v>
      </c>
      <c r="G866" t="str">
        <f t="shared" si="80"/>
        <v>01</v>
      </c>
      <c r="H866">
        <v>2016</v>
      </c>
      <c r="I866" t="str">
        <f t="shared" si="81"/>
        <v>201601</v>
      </c>
      <c r="J866" t="str">
        <f t="shared" si="83"/>
        <v>https://www.euro-millions.com/results/05-01-2016</v>
      </c>
      <c r="K866" t="str">
        <f t="shared" si="82"/>
        <v>http://lottery.merseyworld.com/Euro/archive/Lott865.html</v>
      </c>
    </row>
    <row r="867" spans="1:11" x14ac:dyDescent="0.25">
      <c r="A867">
        <v>866</v>
      </c>
      <c r="B867" s="2" t="str">
        <f t="shared" si="78"/>
        <v>08-01-2016</v>
      </c>
      <c r="C867" t="s">
        <v>10</v>
      </c>
      <c r="D867">
        <v>8</v>
      </c>
      <c r="E867" t="str">
        <f t="shared" si="79"/>
        <v>08</v>
      </c>
      <c r="F867">
        <v>1</v>
      </c>
      <c r="G867" t="str">
        <f t="shared" si="80"/>
        <v>01</v>
      </c>
      <c r="H867">
        <v>2016</v>
      </c>
      <c r="I867" t="str">
        <f t="shared" si="81"/>
        <v>201601</v>
      </c>
      <c r="J867" t="str">
        <f t="shared" si="83"/>
        <v>https://www.euro-millions.com/results/08-01-2016</v>
      </c>
      <c r="K867" t="str">
        <f t="shared" si="82"/>
        <v>http://lottery.merseyworld.com/Euro/archive/Lott866.html</v>
      </c>
    </row>
    <row r="868" spans="1:11" x14ac:dyDescent="0.25">
      <c r="A868">
        <v>867</v>
      </c>
      <c r="B868" s="2" t="str">
        <f t="shared" si="78"/>
        <v>12-01-2016</v>
      </c>
      <c r="C868" t="s">
        <v>16</v>
      </c>
      <c r="D868">
        <v>12</v>
      </c>
      <c r="E868" t="str">
        <f t="shared" si="79"/>
        <v>12</v>
      </c>
      <c r="F868">
        <v>1</v>
      </c>
      <c r="G868" t="str">
        <f t="shared" si="80"/>
        <v>01</v>
      </c>
      <c r="H868">
        <v>2016</v>
      </c>
      <c r="I868" t="str">
        <f t="shared" si="81"/>
        <v>201601</v>
      </c>
      <c r="J868" t="str">
        <f t="shared" si="83"/>
        <v>https://www.euro-millions.com/results/12-01-2016</v>
      </c>
      <c r="K868" t="str">
        <f t="shared" si="82"/>
        <v>http://lottery.merseyworld.com/Euro/archive/Lott867.html</v>
      </c>
    </row>
    <row r="869" spans="1:11" x14ac:dyDescent="0.25">
      <c r="A869">
        <v>868</v>
      </c>
      <c r="B869" s="2" t="str">
        <f t="shared" si="78"/>
        <v>15-01-2016</v>
      </c>
      <c r="C869" t="s">
        <v>10</v>
      </c>
      <c r="D869">
        <v>15</v>
      </c>
      <c r="E869" t="str">
        <f t="shared" si="79"/>
        <v>15</v>
      </c>
      <c r="F869">
        <v>1</v>
      </c>
      <c r="G869" t="str">
        <f t="shared" si="80"/>
        <v>01</v>
      </c>
      <c r="H869">
        <v>2016</v>
      </c>
      <c r="I869" t="str">
        <f t="shared" si="81"/>
        <v>201601</v>
      </c>
      <c r="J869" t="str">
        <f t="shared" si="83"/>
        <v>https://www.euro-millions.com/results/15-01-2016</v>
      </c>
      <c r="K869" t="str">
        <f t="shared" si="82"/>
        <v>http://lottery.merseyworld.com/Euro/archive/Lott868.html</v>
      </c>
    </row>
    <row r="870" spans="1:11" x14ac:dyDescent="0.25">
      <c r="A870">
        <v>869</v>
      </c>
      <c r="B870" s="2" t="str">
        <f t="shared" si="78"/>
        <v>19-01-2016</v>
      </c>
      <c r="C870" t="s">
        <v>16</v>
      </c>
      <c r="D870">
        <v>19</v>
      </c>
      <c r="E870" t="str">
        <f t="shared" si="79"/>
        <v>19</v>
      </c>
      <c r="F870">
        <v>1</v>
      </c>
      <c r="G870" t="str">
        <f t="shared" si="80"/>
        <v>01</v>
      </c>
      <c r="H870">
        <v>2016</v>
      </c>
      <c r="I870" t="str">
        <f t="shared" si="81"/>
        <v>201601</v>
      </c>
      <c r="J870" t="str">
        <f t="shared" si="83"/>
        <v>https://www.euro-millions.com/results/19-01-2016</v>
      </c>
      <c r="K870" t="str">
        <f t="shared" si="82"/>
        <v>http://lottery.merseyworld.com/Euro/archive/Lott869.html</v>
      </c>
    </row>
    <row r="871" spans="1:11" x14ac:dyDescent="0.25">
      <c r="A871">
        <v>870</v>
      </c>
      <c r="B871" s="2" t="str">
        <f t="shared" si="78"/>
        <v>22-01-2016</v>
      </c>
      <c r="C871" t="s">
        <v>10</v>
      </c>
      <c r="D871">
        <v>22</v>
      </c>
      <c r="E871" t="str">
        <f t="shared" si="79"/>
        <v>22</v>
      </c>
      <c r="F871">
        <v>1</v>
      </c>
      <c r="G871" t="str">
        <f t="shared" si="80"/>
        <v>01</v>
      </c>
      <c r="H871">
        <v>2016</v>
      </c>
      <c r="I871" t="str">
        <f t="shared" si="81"/>
        <v>201601</v>
      </c>
      <c r="J871" t="str">
        <f t="shared" si="83"/>
        <v>https://www.euro-millions.com/results/22-01-2016</v>
      </c>
      <c r="K871" t="str">
        <f t="shared" si="82"/>
        <v>http://lottery.merseyworld.com/Euro/archive/Lott870.html</v>
      </c>
    </row>
    <row r="872" spans="1:11" x14ac:dyDescent="0.25">
      <c r="A872">
        <v>871</v>
      </c>
      <c r="B872" s="2" t="str">
        <f t="shared" si="78"/>
        <v>26-01-2016</v>
      </c>
      <c r="C872" t="s">
        <v>16</v>
      </c>
      <c r="D872">
        <v>26</v>
      </c>
      <c r="E872" t="str">
        <f t="shared" si="79"/>
        <v>26</v>
      </c>
      <c r="F872">
        <v>1</v>
      </c>
      <c r="G872" t="str">
        <f t="shared" si="80"/>
        <v>01</v>
      </c>
      <c r="H872">
        <v>2016</v>
      </c>
      <c r="I872" t="str">
        <f t="shared" si="81"/>
        <v>201601</v>
      </c>
      <c r="J872" t="str">
        <f t="shared" si="83"/>
        <v>https://www.euro-millions.com/results/26-01-2016</v>
      </c>
      <c r="K872" t="str">
        <f t="shared" si="82"/>
        <v>http://lottery.merseyworld.com/Euro/archive/Lott871.html</v>
      </c>
    </row>
    <row r="873" spans="1:11" x14ac:dyDescent="0.25">
      <c r="A873">
        <v>872</v>
      </c>
      <c r="B873" s="2" t="str">
        <f t="shared" si="78"/>
        <v>29-01-2016</v>
      </c>
      <c r="C873" t="s">
        <v>10</v>
      </c>
      <c r="D873">
        <v>29</v>
      </c>
      <c r="E873" t="str">
        <f t="shared" si="79"/>
        <v>29</v>
      </c>
      <c r="F873">
        <v>1</v>
      </c>
      <c r="G873" t="str">
        <f t="shared" si="80"/>
        <v>01</v>
      </c>
      <c r="H873">
        <v>2016</v>
      </c>
      <c r="I873" t="str">
        <f t="shared" si="81"/>
        <v>201601</v>
      </c>
      <c r="J873" t="str">
        <f t="shared" si="83"/>
        <v>https://www.euro-millions.com/results/29-01-2016</v>
      </c>
      <c r="K873" t="str">
        <f t="shared" si="82"/>
        <v>http://lottery.merseyworld.com/Euro/archive/Lott872.html</v>
      </c>
    </row>
    <row r="874" spans="1:11" x14ac:dyDescent="0.25">
      <c r="A874">
        <v>873</v>
      </c>
      <c r="B874" s="2" t="str">
        <f t="shared" si="78"/>
        <v>02-02-2016</v>
      </c>
      <c r="C874" t="s">
        <v>16</v>
      </c>
      <c r="D874">
        <v>2</v>
      </c>
      <c r="E874" t="str">
        <f t="shared" si="79"/>
        <v>02</v>
      </c>
      <c r="F874">
        <v>2</v>
      </c>
      <c r="G874" t="str">
        <f t="shared" si="80"/>
        <v>02</v>
      </c>
      <c r="H874">
        <v>2016</v>
      </c>
      <c r="I874" t="str">
        <f t="shared" si="81"/>
        <v>201602</v>
      </c>
      <c r="J874" t="str">
        <f t="shared" si="83"/>
        <v>https://www.euro-millions.com/results/02-02-2016</v>
      </c>
      <c r="K874" t="str">
        <f t="shared" si="82"/>
        <v>http://lottery.merseyworld.com/Euro/archive/Lott873.html</v>
      </c>
    </row>
    <row r="875" spans="1:11" x14ac:dyDescent="0.25">
      <c r="A875">
        <v>874</v>
      </c>
      <c r="B875" s="2" t="str">
        <f t="shared" si="78"/>
        <v>05-02-2016</v>
      </c>
      <c r="C875" t="s">
        <v>10</v>
      </c>
      <c r="D875">
        <v>5</v>
      </c>
      <c r="E875" t="str">
        <f t="shared" si="79"/>
        <v>05</v>
      </c>
      <c r="F875">
        <v>2</v>
      </c>
      <c r="G875" t="str">
        <f t="shared" si="80"/>
        <v>02</v>
      </c>
      <c r="H875">
        <v>2016</v>
      </c>
      <c r="I875" t="str">
        <f t="shared" si="81"/>
        <v>201602</v>
      </c>
      <c r="J875" t="str">
        <f t="shared" si="83"/>
        <v>https://www.euro-millions.com/results/05-02-2016</v>
      </c>
      <c r="K875" t="str">
        <f t="shared" si="82"/>
        <v>http://lottery.merseyworld.com/Euro/archive/Lott874.html</v>
      </c>
    </row>
    <row r="876" spans="1:11" x14ac:dyDescent="0.25">
      <c r="A876">
        <v>875</v>
      </c>
      <c r="B876" s="2" t="str">
        <f t="shared" si="78"/>
        <v>09-02-2016</v>
      </c>
      <c r="C876" t="s">
        <v>16</v>
      </c>
      <c r="D876">
        <v>9</v>
      </c>
      <c r="E876" t="str">
        <f t="shared" si="79"/>
        <v>09</v>
      </c>
      <c r="F876">
        <v>2</v>
      </c>
      <c r="G876" t="str">
        <f t="shared" si="80"/>
        <v>02</v>
      </c>
      <c r="H876">
        <v>2016</v>
      </c>
      <c r="I876" t="str">
        <f t="shared" si="81"/>
        <v>201602</v>
      </c>
      <c r="J876" t="str">
        <f t="shared" si="83"/>
        <v>https://www.euro-millions.com/results/09-02-2016</v>
      </c>
      <c r="K876" t="str">
        <f t="shared" si="82"/>
        <v>http://lottery.merseyworld.com/Euro/archive/Lott875.html</v>
      </c>
    </row>
    <row r="877" spans="1:11" x14ac:dyDescent="0.25">
      <c r="A877">
        <v>876</v>
      </c>
      <c r="B877" s="2" t="str">
        <f t="shared" si="78"/>
        <v>12-02-2016</v>
      </c>
      <c r="C877" t="s">
        <v>10</v>
      </c>
      <c r="D877">
        <v>12</v>
      </c>
      <c r="E877" t="str">
        <f t="shared" si="79"/>
        <v>12</v>
      </c>
      <c r="F877">
        <v>2</v>
      </c>
      <c r="G877" t="str">
        <f t="shared" si="80"/>
        <v>02</v>
      </c>
      <c r="H877">
        <v>2016</v>
      </c>
      <c r="I877" t="str">
        <f t="shared" si="81"/>
        <v>201602</v>
      </c>
      <c r="J877" t="str">
        <f t="shared" si="83"/>
        <v>https://www.euro-millions.com/results/12-02-2016</v>
      </c>
      <c r="K877" t="str">
        <f t="shared" si="82"/>
        <v>http://lottery.merseyworld.com/Euro/archive/Lott876.html</v>
      </c>
    </row>
    <row r="878" spans="1:11" x14ac:dyDescent="0.25">
      <c r="A878">
        <v>877</v>
      </c>
      <c r="B878" s="2" t="str">
        <f t="shared" si="78"/>
        <v>16-02-2016</v>
      </c>
      <c r="C878" t="s">
        <v>16</v>
      </c>
      <c r="D878">
        <v>16</v>
      </c>
      <c r="E878" t="str">
        <f t="shared" si="79"/>
        <v>16</v>
      </c>
      <c r="F878">
        <v>2</v>
      </c>
      <c r="G878" t="str">
        <f t="shared" si="80"/>
        <v>02</v>
      </c>
      <c r="H878">
        <v>2016</v>
      </c>
      <c r="I878" t="str">
        <f t="shared" si="81"/>
        <v>201602</v>
      </c>
      <c r="J878" t="str">
        <f t="shared" si="83"/>
        <v>https://www.euro-millions.com/results/16-02-2016</v>
      </c>
      <c r="K878" t="str">
        <f t="shared" si="82"/>
        <v>http://lottery.merseyworld.com/Euro/archive/Lott877.html</v>
      </c>
    </row>
    <row r="879" spans="1:11" x14ac:dyDescent="0.25">
      <c r="A879">
        <v>878</v>
      </c>
      <c r="B879" s="2" t="str">
        <f t="shared" si="78"/>
        <v>19-02-2016</v>
      </c>
      <c r="C879" t="s">
        <v>10</v>
      </c>
      <c r="D879">
        <v>19</v>
      </c>
      <c r="E879" t="str">
        <f t="shared" si="79"/>
        <v>19</v>
      </c>
      <c r="F879">
        <v>2</v>
      </c>
      <c r="G879" t="str">
        <f t="shared" si="80"/>
        <v>02</v>
      </c>
      <c r="H879">
        <v>2016</v>
      </c>
      <c r="I879" t="str">
        <f t="shared" si="81"/>
        <v>201602</v>
      </c>
      <c r="J879" t="str">
        <f t="shared" si="83"/>
        <v>https://www.euro-millions.com/results/19-02-2016</v>
      </c>
      <c r="K879" t="str">
        <f t="shared" si="82"/>
        <v>http://lottery.merseyworld.com/Euro/archive/Lott878.html</v>
      </c>
    </row>
    <row r="880" spans="1:11" x14ac:dyDescent="0.25">
      <c r="A880">
        <v>879</v>
      </c>
      <c r="B880" s="2" t="str">
        <f t="shared" si="78"/>
        <v>23-02-2016</v>
      </c>
      <c r="C880" t="s">
        <v>16</v>
      </c>
      <c r="D880">
        <v>23</v>
      </c>
      <c r="E880" t="str">
        <f t="shared" si="79"/>
        <v>23</v>
      </c>
      <c r="F880">
        <v>2</v>
      </c>
      <c r="G880" t="str">
        <f t="shared" si="80"/>
        <v>02</v>
      </c>
      <c r="H880">
        <v>2016</v>
      </c>
      <c r="I880" t="str">
        <f t="shared" si="81"/>
        <v>201602</v>
      </c>
      <c r="J880" t="str">
        <f t="shared" si="83"/>
        <v>https://www.euro-millions.com/results/23-02-2016</v>
      </c>
      <c r="K880" t="str">
        <f t="shared" si="82"/>
        <v>http://lottery.merseyworld.com/Euro/archive/Lott879.html</v>
      </c>
    </row>
    <row r="881" spans="1:11" x14ac:dyDescent="0.25">
      <c r="A881">
        <v>880</v>
      </c>
      <c r="B881" s="2" t="str">
        <f t="shared" si="78"/>
        <v>26-02-2016</v>
      </c>
      <c r="C881" t="s">
        <v>10</v>
      </c>
      <c r="D881">
        <v>26</v>
      </c>
      <c r="E881" t="str">
        <f t="shared" si="79"/>
        <v>26</v>
      </c>
      <c r="F881">
        <v>2</v>
      </c>
      <c r="G881" t="str">
        <f t="shared" si="80"/>
        <v>02</v>
      </c>
      <c r="H881">
        <v>2016</v>
      </c>
      <c r="I881" t="str">
        <f t="shared" si="81"/>
        <v>201602</v>
      </c>
      <c r="J881" t="str">
        <f t="shared" si="83"/>
        <v>https://www.euro-millions.com/results/26-02-2016</v>
      </c>
      <c r="K881" t="str">
        <f t="shared" si="82"/>
        <v>http://lottery.merseyworld.com/Euro/archive/Lott880.html</v>
      </c>
    </row>
    <row r="882" spans="1:11" x14ac:dyDescent="0.25">
      <c r="A882">
        <v>881</v>
      </c>
      <c r="B882" s="2" t="str">
        <f t="shared" si="78"/>
        <v>01-03-2016</v>
      </c>
      <c r="C882" t="s">
        <v>16</v>
      </c>
      <c r="D882">
        <v>1</v>
      </c>
      <c r="E882" t="str">
        <f t="shared" si="79"/>
        <v>01</v>
      </c>
      <c r="F882">
        <v>3</v>
      </c>
      <c r="G882" t="str">
        <f t="shared" si="80"/>
        <v>03</v>
      </c>
      <c r="H882">
        <v>2016</v>
      </c>
      <c r="I882" t="str">
        <f t="shared" si="81"/>
        <v>201603</v>
      </c>
      <c r="J882" t="str">
        <f t="shared" si="83"/>
        <v>https://www.euro-millions.com/results/01-03-2016</v>
      </c>
      <c r="K882" t="str">
        <f t="shared" si="82"/>
        <v>http://lottery.merseyworld.com/Euro/archive/Lott881.html</v>
      </c>
    </row>
    <row r="883" spans="1:11" x14ac:dyDescent="0.25">
      <c r="A883">
        <v>882</v>
      </c>
      <c r="B883" s="2" t="str">
        <f t="shared" si="78"/>
        <v>04-03-2016</v>
      </c>
      <c r="C883" t="s">
        <v>10</v>
      </c>
      <c r="D883">
        <v>4</v>
      </c>
      <c r="E883" t="str">
        <f t="shared" si="79"/>
        <v>04</v>
      </c>
      <c r="F883">
        <v>3</v>
      </c>
      <c r="G883" t="str">
        <f t="shared" si="80"/>
        <v>03</v>
      </c>
      <c r="H883">
        <v>2016</v>
      </c>
      <c r="I883" t="str">
        <f t="shared" si="81"/>
        <v>201603</v>
      </c>
      <c r="J883" t="str">
        <f t="shared" si="83"/>
        <v>https://www.euro-millions.com/results/04-03-2016</v>
      </c>
      <c r="K883" t="str">
        <f t="shared" si="82"/>
        <v>http://lottery.merseyworld.com/Euro/archive/Lott882.html</v>
      </c>
    </row>
    <row r="884" spans="1:11" x14ac:dyDescent="0.25">
      <c r="A884">
        <v>883</v>
      </c>
      <c r="B884" s="2" t="str">
        <f t="shared" si="78"/>
        <v>08-03-2016</v>
      </c>
      <c r="C884" t="s">
        <v>16</v>
      </c>
      <c r="D884">
        <v>8</v>
      </c>
      <c r="E884" t="str">
        <f t="shared" si="79"/>
        <v>08</v>
      </c>
      <c r="F884">
        <v>3</v>
      </c>
      <c r="G884" t="str">
        <f t="shared" si="80"/>
        <v>03</v>
      </c>
      <c r="H884">
        <v>2016</v>
      </c>
      <c r="I884" t="str">
        <f t="shared" si="81"/>
        <v>201603</v>
      </c>
      <c r="J884" t="str">
        <f t="shared" si="83"/>
        <v>https://www.euro-millions.com/results/08-03-2016</v>
      </c>
      <c r="K884" t="str">
        <f t="shared" si="82"/>
        <v>http://lottery.merseyworld.com/Euro/archive/Lott883.html</v>
      </c>
    </row>
    <row r="885" spans="1:11" x14ac:dyDescent="0.25">
      <c r="A885">
        <v>884</v>
      </c>
      <c r="B885" s="2" t="str">
        <f t="shared" si="78"/>
        <v>11-03-2016</v>
      </c>
      <c r="C885" t="s">
        <v>10</v>
      </c>
      <c r="D885">
        <v>11</v>
      </c>
      <c r="E885" t="str">
        <f t="shared" si="79"/>
        <v>11</v>
      </c>
      <c r="F885">
        <v>3</v>
      </c>
      <c r="G885" t="str">
        <f t="shared" si="80"/>
        <v>03</v>
      </c>
      <c r="H885">
        <v>2016</v>
      </c>
      <c r="I885" t="str">
        <f t="shared" si="81"/>
        <v>201603</v>
      </c>
      <c r="J885" t="str">
        <f t="shared" si="83"/>
        <v>https://www.euro-millions.com/results/11-03-2016</v>
      </c>
      <c r="K885" t="str">
        <f t="shared" si="82"/>
        <v>http://lottery.merseyworld.com/Euro/archive/Lott884.html</v>
      </c>
    </row>
    <row r="886" spans="1:11" x14ac:dyDescent="0.25">
      <c r="A886">
        <v>885</v>
      </c>
      <c r="B886" s="2" t="str">
        <f t="shared" si="78"/>
        <v>15-03-2016</v>
      </c>
      <c r="C886" t="s">
        <v>16</v>
      </c>
      <c r="D886">
        <v>15</v>
      </c>
      <c r="E886" t="str">
        <f t="shared" si="79"/>
        <v>15</v>
      </c>
      <c r="F886">
        <v>3</v>
      </c>
      <c r="G886" t="str">
        <f t="shared" si="80"/>
        <v>03</v>
      </c>
      <c r="H886">
        <v>2016</v>
      </c>
      <c r="I886" t="str">
        <f t="shared" si="81"/>
        <v>201603</v>
      </c>
      <c r="J886" t="str">
        <f t="shared" si="83"/>
        <v>https://www.euro-millions.com/results/15-03-2016</v>
      </c>
      <c r="K886" t="str">
        <f t="shared" si="82"/>
        <v>http://lottery.merseyworld.com/Euro/archive/Lott885.html</v>
      </c>
    </row>
    <row r="887" spans="1:11" x14ac:dyDescent="0.25">
      <c r="A887">
        <v>886</v>
      </c>
      <c r="B887" s="2" t="str">
        <f t="shared" si="78"/>
        <v>18-03-2016</v>
      </c>
      <c r="C887" t="s">
        <v>10</v>
      </c>
      <c r="D887">
        <v>18</v>
      </c>
      <c r="E887" t="str">
        <f t="shared" si="79"/>
        <v>18</v>
      </c>
      <c r="F887">
        <v>3</v>
      </c>
      <c r="G887" t="str">
        <f t="shared" si="80"/>
        <v>03</v>
      </c>
      <c r="H887">
        <v>2016</v>
      </c>
      <c r="I887" t="str">
        <f t="shared" si="81"/>
        <v>201603</v>
      </c>
      <c r="J887" t="str">
        <f t="shared" si="83"/>
        <v>https://www.euro-millions.com/results/18-03-2016</v>
      </c>
      <c r="K887" t="str">
        <f t="shared" si="82"/>
        <v>http://lottery.merseyworld.com/Euro/archive/Lott886.html</v>
      </c>
    </row>
    <row r="888" spans="1:11" x14ac:dyDescent="0.25">
      <c r="A888">
        <v>887</v>
      </c>
      <c r="B888" s="2" t="str">
        <f t="shared" si="78"/>
        <v>22-03-2016</v>
      </c>
      <c r="C888" t="s">
        <v>16</v>
      </c>
      <c r="D888">
        <v>22</v>
      </c>
      <c r="E888" t="str">
        <f t="shared" si="79"/>
        <v>22</v>
      </c>
      <c r="F888">
        <v>3</v>
      </c>
      <c r="G888" t="str">
        <f t="shared" si="80"/>
        <v>03</v>
      </c>
      <c r="H888">
        <v>2016</v>
      </c>
      <c r="I888" t="str">
        <f t="shared" si="81"/>
        <v>201603</v>
      </c>
      <c r="J888" t="str">
        <f t="shared" si="83"/>
        <v>https://www.euro-millions.com/results/22-03-2016</v>
      </c>
      <c r="K888" t="str">
        <f t="shared" si="82"/>
        <v>http://lottery.merseyworld.com/Euro/archive/Lott887.html</v>
      </c>
    </row>
    <row r="889" spans="1:11" x14ac:dyDescent="0.25">
      <c r="A889">
        <v>888</v>
      </c>
      <c r="B889" s="2" t="str">
        <f t="shared" si="78"/>
        <v>25-03-2016</v>
      </c>
      <c r="C889" t="s">
        <v>10</v>
      </c>
      <c r="D889">
        <v>25</v>
      </c>
      <c r="E889" t="str">
        <f t="shared" si="79"/>
        <v>25</v>
      </c>
      <c r="F889">
        <v>3</v>
      </c>
      <c r="G889" t="str">
        <f t="shared" si="80"/>
        <v>03</v>
      </c>
      <c r="H889">
        <v>2016</v>
      </c>
      <c r="I889" t="str">
        <f t="shared" si="81"/>
        <v>201603</v>
      </c>
      <c r="J889" t="str">
        <f t="shared" si="83"/>
        <v>https://www.euro-millions.com/results/25-03-2016</v>
      </c>
      <c r="K889" t="str">
        <f t="shared" si="82"/>
        <v>http://lottery.merseyworld.com/Euro/archive/Lott888.html</v>
      </c>
    </row>
    <row r="890" spans="1:11" x14ac:dyDescent="0.25">
      <c r="A890">
        <v>889</v>
      </c>
      <c r="B890" s="2" t="str">
        <f t="shared" si="78"/>
        <v>29-03-2016</v>
      </c>
      <c r="C890" t="s">
        <v>16</v>
      </c>
      <c r="D890">
        <v>29</v>
      </c>
      <c r="E890" t="str">
        <f t="shared" si="79"/>
        <v>29</v>
      </c>
      <c r="F890">
        <v>3</v>
      </c>
      <c r="G890" t="str">
        <f t="shared" si="80"/>
        <v>03</v>
      </c>
      <c r="H890">
        <v>2016</v>
      </c>
      <c r="I890" t="str">
        <f t="shared" si="81"/>
        <v>201603</v>
      </c>
      <c r="J890" t="str">
        <f t="shared" si="83"/>
        <v>https://www.euro-millions.com/results/29-03-2016</v>
      </c>
      <c r="K890" t="str">
        <f t="shared" si="82"/>
        <v>http://lottery.merseyworld.com/Euro/archive/Lott889.html</v>
      </c>
    </row>
    <row r="891" spans="1:11" x14ac:dyDescent="0.25">
      <c r="A891">
        <v>890</v>
      </c>
      <c r="B891" s="2" t="str">
        <f t="shared" si="78"/>
        <v>01-04-2016</v>
      </c>
      <c r="C891" t="s">
        <v>10</v>
      </c>
      <c r="D891">
        <v>1</v>
      </c>
      <c r="E891" t="str">
        <f t="shared" si="79"/>
        <v>01</v>
      </c>
      <c r="F891">
        <v>4</v>
      </c>
      <c r="G891" t="str">
        <f t="shared" si="80"/>
        <v>04</v>
      </c>
      <c r="H891">
        <v>2016</v>
      </c>
      <c r="I891" t="str">
        <f t="shared" si="81"/>
        <v>201604</v>
      </c>
      <c r="J891" t="str">
        <f t="shared" si="83"/>
        <v>https://www.euro-millions.com/results/01-04-2016</v>
      </c>
      <c r="K891" t="str">
        <f t="shared" si="82"/>
        <v>http://lottery.merseyworld.com/Euro/archive/Lott890.html</v>
      </c>
    </row>
    <row r="892" spans="1:11" x14ac:dyDescent="0.25">
      <c r="A892">
        <v>891</v>
      </c>
      <c r="B892" s="2" t="str">
        <f t="shared" si="78"/>
        <v>05-04-2016</v>
      </c>
      <c r="C892" t="s">
        <v>16</v>
      </c>
      <c r="D892">
        <v>5</v>
      </c>
      <c r="E892" t="str">
        <f t="shared" si="79"/>
        <v>05</v>
      </c>
      <c r="F892">
        <v>4</v>
      </c>
      <c r="G892" t="str">
        <f t="shared" si="80"/>
        <v>04</v>
      </c>
      <c r="H892">
        <v>2016</v>
      </c>
      <c r="I892" t="str">
        <f t="shared" si="81"/>
        <v>201604</v>
      </c>
      <c r="J892" t="str">
        <f t="shared" si="83"/>
        <v>https://www.euro-millions.com/results/05-04-2016</v>
      </c>
      <c r="K892" t="str">
        <f t="shared" si="82"/>
        <v>http://lottery.merseyworld.com/Euro/archive/Lott891.html</v>
      </c>
    </row>
    <row r="893" spans="1:11" x14ac:dyDescent="0.25">
      <c r="A893">
        <v>892</v>
      </c>
      <c r="B893" s="2" t="str">
        <f t="shared" si="78"/>
        <v>08-04-2016</v>
      </c>
      <c r="C893" t="s">
        <v>10</v>
      </c>
      <c r="D893">
        <v>8</v>
      </c>
      <c r="E893" t="str">
        <f t="shared" si="79"/>
        <v>08</v>
      </c>
      <c r="F893">
        <v>4</v>
      </c>
      <c r="G893" t="str">
        <f t="shared" si="80"/>
        <v>04</v>
      </c>
      <c r="H893">
        <v>2016</v>
      </c>
      <c r="I893" t="str">
        <f t="shared" si="81"/>
        <v>201604</v>
      </c>
      <c r="J893" t="str">
        <f t="shared" si="83"/>
        <v>https://www.euro-millions.com/results/08-04-2016</v>
      </c>
      <c r="K893" t="str">
        <f t="shared" si="82"/>
        <v>http://lottery.merseyworld.com/Euro/archive/Lott892.html</v>
      </c>
    </row>
    <row r="894" spans="1:11" x14ac:dyDescent="0.25">
      <c r="A894">
        <v>893</v>
      </c>
      <c r="B894" s="2" t="str">
        <f t="shared" si="78"/>
        <v>12-04-2016</v>
      </c>
      <c r="C894" t="s">
        <v>16</v>
      </c>
      <c r="D894">
        <v>12</v>
      </c>
      <c r="E894" t="str">
        <f t="shared" si="79"/>
        <v>12</v>
      </c>
      <c r="F894">
        <v>4</v>
      </c>
      <c r="G894" t="str">
        <f t="shared" si="80"/>
        <v>04</v>
      </c>
      <c r="H894">
        <v>2016</v>
      </c>
      <c r="I894" t="str">
        <f t="shared" si="81"/>
        <v>201604</v>
      </c>
      <c r="J894" t="str">
        <f t="shared" si="83"/>
        <v>https://www.euro-millions.com/results/12-04-2016</v>
      </c>
      <c r="K894" t="str">
        <f t="shared" si="82"/>
        <v>http://lottery.merseyworld.com/Euro/archive/Lott893.html</v>
      </c>
    </row>
    <row r="895" spans="1:11" x14ac:dyDescent="0.25">
      <c r="A895">
        <v>894</v>
      </c>
      <c r="B895" s="2" t="str">
        <f t="shared" si="78"/>
        <v>15-04-2016</v>
      </c>
      <c r="C895" t="s">
        <v>10</v>
      </c>
      <c r="D895">
        <v>15</v>
      </c>
      <c r="E895" t="str">
        <f t="shared" si="79"/>
        <v>15</v>
      </c>
      <c r="F895">
        <v>4</v>
      </c>
      <c r="G895" t="str">
        <f t="shared" si="80"/>
        <v>04</v>
      </c>
      <c r="H895">
        <v>2016</v>
      </c>
      <c r="I895" t="str">
        <f t="shared" si="81"/>
        <v>201604</v>
      </c>
      <c r="J895" t="str">
        <f t="shared" si="83"/>
        <v>https://www.euro-millions.com/results/15-04-2016</v>
      </c>
      <c r="K895" t="str">
        <f t="shared" si="82"/>
        <v>http://lottery.merseyworld.com/Euro/archive/Lott894.html</v>
      </c>
    </row>
    <row r="896" spans="1:11" x14ac:dyDescent="0.25">
      <c r="A896">
        <v>895</v>
      </c>
      <c r="B896" s="2" t="str">
        <f t="shared" si="78"/>
        <v>19-04-2016</v>
      </c>
      <c r="C896" t="s">
        <v>16</v>
      </c>
      <c r="D896">
        <v>19</v>
      </c>
      <c r="E896" t="str">
        <f t="shared" si="79"/>
        <v>19</v>
      </c>
      <c r="F896">
        <v>4</v>
      </c>
      <c r="G896" t="str">
        <f t="shared" si="80"/>
        <v>04</v>
      </c>
      <c r="H896">
        <v>2016</v>
      </c>
      <c r="I896" t="str">
        <f t="shared" si="81"/>
        <v>201604</v>
      </c>
      <c r="J896" t="str">
        <f t="shared" si="83"/>
        <v>https://www.euro-millions.com/results/19-04-2016</v>
      </c>
      <c r="K896" t="str">
        <f t="shared" si="82"/>
        <v>http://lottery.merseyworld.com/Euro/archive/Lott895.html</v>
      </c>
    </row>
    <row r="897" spans="1:11" x14ac:dyDescent="0.25">
      <c r="A897">
        <v>896</v>
      </c>
      <c r="B897" s="2" t="str">
        <f t="shared" si="78"/>
        <v>22-04-2016</v>
      </c>
      <c r="C897" t="s">
        <v>10</v>
      </c>
      <c r="D897">
        <v>22</v>
      </c>
      <c r="E897" t="str">
        <f t="shared" si="79"/>
        <v>22</v>
      </c>
      <c r="F897">
        <v>4</v>
      </c>
      <c r="G897" t="str">
        <f t="shared" si="80"/>
        <v>04</v>
      </c>
      <c r="H897">
        <v>2016</v>
      </c>
      <c r="I897" t="str">
        <f t="shared" si="81"/>
        <v>201604</v>
      </c>
      <c r="J897" t="str">
        <f t="shared" si="83"/>
        <v>https://www.euro-millions.com/results/22-04-2016</v>
      </c>
      <c r="K897" t="str">
        <f t="shared" si="82"/>
        <v>http://lottery.merseyworld.com/Euro/archive/Lott896.html</v>
      </c>
    </row>
    <row r="898" spans="1:11" x14ac:dyDescent="0.25">
      <c r="A898">
        <v>897</v>
      </c>
      <c r="B898" s="2" t="str">
        <f t="shared" si="78"/>
        <v>26-04-2016</v>
      </c>
      <c r="C898" t="s">
        <v>16</v>
      </c>
      <c r="D898">
        <v>26</v>
      </c>
      <c r="E898" t="str">
        <f t="shared" si="79"/>
        <v>26</v>
      </c>
      <c r="F898">
        <v>4</v>
      </c>
      <c r="G898" t="str">
        <f t="shared" si="80"/>
        <v>04</v>
      </c>
      <c r="H898">
        <v>2016</v>
      </c>
      <c r="I898" t="str">
        <f t="shared" si="81"/>
        <v>201604</v>
      </c>
      <c r="J898" t="str">
        <f t="shared" si="83"/>
        <v>https://www.euro-millions.com/results/26-04-2016</v>
      </c>
      <c r="K898" t="str">
        <f t="shared" si="82"/>
        <v>http://lottery.merseyworld.com/Euro/archive/Lott897.html</v>
      </c>
    </row>
    <row r="899" spans="1:11" x14ac:dyDescent="0.25">
      <c r="A899">
        <v>898</v>
      </c>
      <c r="B899" s="2" t="str">
        <f t="shared" ref="B899:B962" si="84">CONCATENATE(E899,"-",G899,"-",H899)</f>
        <v>29-04-2016</v>
      </c>
      <c r="C899" t="s">
        <v>10</v>
      </c>
      <c r="D899">
        <v>29</v>
      </c>
      <c r="E899" t="str">
        <f t="shared" ref="E899:E962" si="85">CONCATENATE(IF(LEN(D899)=1,CONCATENATE("0",D899),D899))</f>
        <v>29</v>
      </c>
      <c r="F899">
        <v>4</v>
      </c>
      <c r="G899" t="str">
        <f t="shared" ref="G899:G962" si="86">CONCATENATE(IF(LEN(F899)=1,CONCATENATE("0",F899),F899))</f>
        <v>04</v>
      </c>
      <c r="H899">
        <v>2016</v>
      </c>
      <c r="I899" t="str">
        <f t="shared" ref="I899:I962" si="87">CONCATENATE(H899,IF(LEN(F899)=1,CONCATENATE("0",F899),F899))</f>
        <v>201604</v>
      </c>
      <c r="J899" t="str">
        <f t="shared" si="83"/>
        <v>https://www.euro-millions.com/results/29-04-2016</v>
      </c>
      <c r="K899" t="str">
        <f t="shared" ref="K899:K962" si="88">CONCATENATE("http://lottery.merseyworld.com/Euro/archive/Lott",RIGHT(CONCATENATE("00",A899),3),".html")</f>
        <v>http://lottery.merseyworld.com/Euro/archive/Lott898.html</v>
      </c>
    </row>
    <row r="900" spans="1:11" x14ac:dyDescent="0.25">
      <c r="A900">
        <v>899</v>
      </c>
      <c r="B900" s="2" t="str">
        <f t="shared" si="84"/>
        <v>03-05-2016</v>
      </c>
      <c r="C900" t="s">
        <v>16</v>
      </c>
      <c r="D900">
        <v>3</v>
      </c>
      <c r="E900" t="str">
        <f t="shared" si="85"/>
        <v>03</v>
      </c>
      <c r="F900">
        <v>5</v>
      </c>
      <c r="G900" t="str">
        <f t="shared" si="86"/>
        <v>05</v>
      </c>
      <c r="H900">
        <v>2016</v>
      </c>
      <c r="I900" t="str">
        <f t="shared" si="87"/>
        <v>201605</v>
      </c>
      <c r="J900" t="str">
        <f t="shared" si="83"/>
        <v>https://www.euro-millions.com/results/03-05-2016</v>
      </c>
      <c r="K900" t="str">
        <f t="shared" si="88"/>
        <v>http://lottery.merseyworld.com/Euro/archive/Lott899.html</v>
      </c>
    </row>
    <row r="901" spans="1:11" x14ac:dyDescent="0.25">
      <c r="A901">
        <v>900</v>
      </c>
      <c r="B901" s="2" t="str">
        <f t="shared" si="84"/>
        <v>06-05-2016</v>
      </c>
      <c r="C901" t="s">
        <v>10</v>
      </c>
      <c r="D901">
        <v>6</v>
      </c>
      <c r="E901" t="str">
        <f t="shared" si="85"/>
        <v>06</v>
      </c>
      <c r="F901">
        <v>5</v>
      </c>
      <c r="G901" t="str">
        <f t="shared" si="86"/>
        <v>05</v>
      </c>
      <c r="H901">
        <v>2016</v>
      </c>
      <c r="I901" t="str">
        <f t="shared" si="87"/>
        <v>201605</v>
      </c>
      <c r="J901" t="str">
        <f t="shared" si="83"/>
        <v>https://www.euro-millions.com/results/06-05-2016</v>
      </c>
      <c r="K901" t="str">
        <f t="shared" si="88"/>
        <v>http://lottery.merseyworld.com/Euro/archive/Lott900.html</v>
      </c>
    </row>
    <row r="902" spans="1:11" x14ac:dyDescent="0.25">
      <c r="A902">
        <v>901</v>
      </c>
      <c r="B902" s="2" t="str">
        <f t="shared" si="84"/>
        <v>10-05-2016</v>
      </c>
      <c r="C902" t="s">
        <v>16</v>
      </c>
      <c r="D902">
        <v>10</v>
      </c>
      <c r="E902" t="str">
        <f t="shared" si="85"/>
        <v>10</v>
      </c>
      <c r="F902">
        <v>5</v>
      </c>
      <c r="G902" t="str">
        <f t="shared" si="86"/>
        <v>05</v>
      </c>
      <c r="H902">
        <v>2016</v>
      </c>
      <c r="I902" t="str">
        <f t="shared" si="87"/>
        <v>201605</v>
      </c>
      <c r="J902" t="str">
        <f t="shared" si="83"/>
        <v>https://www.euro-millions.com/results/10-05-2016</v>
      </c>
      <c r="K902" t="str">
        <f t="shared" si="88"/>
        <v>http://lottery.merseyworld.com/Euro/archive/Lott901.html</v>
      </c>
    </row>
    <row r="903" spans="1:11" x14ac:dyDescent="0.25">
      <c r="A903">
        <v>902</v>
      </c>
      <c r="B903" s="2" t="str">
        <f t="shared" si="84"/>
        <v>13-05-2016</v>
      </c>
      <c r="C903" t="s">
        <v>10</v>
      </c>
      <c r="D903">
        <v>13</v>
      </c>
      <c r="E903" t="str">
        <f t="shared" si="85"/>
        <v>13</v>
      </c>
      <c r="F903">
        <v>5</v>
      </c>
      <c r="G903" t="str">
        <f t="shared" si="86"/>
        <v>05</v>
      </c>
      <c r="H903">
        <v>2016</v>
      </c>
      <c r="I903" t="str">
        <f t="shared" si="87"/>
        <v>201605</v>
      </c>
      <c r="J903" t="str">
        <f t="shared" si="83"/>
        <v>https://www.euro-millions.com/results/13-05-2016</v>
      </c>
      <c r="K903" t="str">
        <f t="shared" si="88"/>
        <v>http://lottery.merseyworld.com/Euro/archive/Lott902.html</v>
      </c>
    </row>
    <row r="904" spans="1:11" x14ac:dyDescent="0.25">
      <c r="A904">
        <v>903</v>
      </c>
      <c r="B904" s="2" t="str">
        <f t="shared" si="84"/>
        <v>17-05-2016</v>
      </c>
      <c r="C904" t="s">
        <v>16</v>
      </c>
      <c r="D904">
        <v>17</v>
      </c>
      <c r="E904" t="str">
        <f t="shared" si="85"/>
        <v>17</v>
      </c>
      <c r="F904">
        <v>5</v>
      </c>
      <c r="G904" t="str">
        <f t="shared" si="86"/>
        <v>05</v>
      </c>
      <c r="H904">
        <v>2016</v>
      </c>
      <c r="I904" t="str">
        <f t="shared" si="87"/>
        <v>201605</v>
      </c>
      <c r="J904" t="str">
        <f t="shared" ref="J904:J967" si="89">CONCATENATE("https://www.euro-millions.com/results/",E904,"-",G904,"-",H904)</f>
        <v>https://www.euro-millions.com/results/17-05-2016</v>
      </c>
      <c r="K904" t="str">
        <f t="shared" si="88"/>
        <v>http://lottery.merseyworld.com/Euro/archive/Lott903.html</v>
      </c>
    </row>
    <row r="905" spans="1:11" x14ac:dyDescent="0.25">
      <c r="A905">
        <v>904</v>
      </c>
      <c r="B905" s="2" t="str">
        <f t="shared" si="84"/>
        <v>20-05-2016</v>
      </c>
      <c r="C905" t="s">
        <v>10</v>
      </c>
      <c r="D905">
        <v>20</v>
      </c>
      <c r="E905" t="str">
        <f t="shared" si="85"/>
        <v>20</v>
      </c>
      <c r="F905">
        <v>5</v>
      </c>
      <c r="G905" t="str">
        <f t="shared" si="86"/>
        <v>05</v>
      </c>
      <c r="H905">
        <v>2016</v>
      </c>
      <c r="I905" t="str">
        <f t="shared" si="87"/>
        <v>201605</v>
      </c>
      <c r="J905" t="str">
        <f t="shared" si="89"/>
        <v>https://www.euro-millions.com/results/20-05-2016</v>
      </c>
      <c r="K905" t="str">
        <f t="shared" si="88"/>
        <v>http://lottery.merseyworld.com/Euro/archive/Lott904.html</v>
      </c>
    </row>
    <row r="906" spans="1:11" x14ac:dyDescent="0.25">
      <c r="A906">
        <v>905</v>
      </c>
      <c r="B906" s="2" t="str">
        <f t="shared" si="84"/>
        <v>24-05-2016</v>
      </c>
      <c r="C906" t="s">
        <v>16</v>
      </c>
      <c r="D906">
        <v>24</v>
      </c>
      <c r="E906" t="str">
        <f t="shared" si="85"/>
        <v>24</v>
      </c>
      <c r="F906">
        <v>5</v>
      </c>
      <c r="G906" t="str">
        <f t="shared" si="86"/>
        <v>05</v>
      </c>
      <c r="H906">
        <v>2016</v>
      </c>
      <c r="I906" t="str">
        <f t="shared" si="87"/>
        <v>201605</v>
      </c>
      <c r="J906" t="str">
        <f t="shared" si="89"/>
        <v>https://www.euro-millions.com/results/24-05-2016</v>
      </c>
      <c r="K906" t="str">
        <f t="shared" si="88"/>
        <v>http://lottery.merseyworld.com/Euro/archive/Lott905.html</v>
      </c>
    </row>
    <row r="907" spans="1:11" x14ac:dyDescent="0.25">
      <c r="A907">
        <v>906</v>
      </c>
      <c r="B907" s="2" t="str">
        <f t="shared" si="84"/>
        <v>27-05-2016</v>
      </c>
      <c r="C907" t="s">
        <v>10</v>
      </c>
      <c r="D907">
        <v>27</v>
      </c>
      <c r="E907" t="str">
        <f t="shared" si="85"/>
        <v>27</v>
      </c>
      <c r="F907">
        <v>5</v>
      </c>
      <c r="G907" t="str">
        <f t="shared" si="86"/>
        <v>05</v>
      </c>
      <c r="H907">
        <v>2016</v>
      </c>
      <c r="I907" t="str">
        <f t="shared" si="87"/>
        <v>201605</v>
      </c>
      <c r="J907" t="str">
        <f t="shared" si="89"/>
        <v>https://www.euro-millions.com/results/27-05-2016</v>
      </c>
      <c r="K907" t="str">
        <f t="shared" si="88"/>
        <v>http://lottery.merseyworld.com/Euro/archive/Lott906.html</v>
      </c>
    </row>
    <row r="908" spans="1:11" x14ac:dyDescent="0.25">
      <c r="A908">
        <v>907</v>
      </c>
      <c r="B908" s="2" t="str">
        <f t="shared" si="84"/>
        <v>31-05-2016</v>
      </c>
      <c r="C908" t="s">
        <v>16</v>
      </c>
      <c r="D908">
        <v>31</v>
      </c>
      <c r="E908" t="str">
        <f t="shared" si="85"/>
        <v>31</v>
      </c>
      <c r="F908">
        <v>5</v>
      </c>
      <c r="G908" t="str">
        <f t="shared" si="86"/>
        <v>05</v>
      </c>
      <c r="H908">
        <v>2016</v>
      </c>
      <c r="I908" t="str">
        <f t="shared" si="87"/>
        <v>201605</v>
      </c>
      <c r="J908" t="str">
        <f t="shared" si="89"/>
        <v>https://www.euro-millions.com/results/31-05-2016</v>
      </c>
      <c r="K908" t="str">
        <f t="shared" si="88"/>
        <v>http://lottery.merseyworld.com/Euro/archive/Lott907.html</v>
      </c>
    </row>
    <row r="909" spans="1:11" x14ac:dyDescent="0.25">
      <c r="A909">
        <v>908</v>
      </c>
      <c r="B909" s="2" t="str">
        <f t="shared" si="84"/>
        <v>03-06-2016</v>
      </c>
      <c r="C909" t="s">
        <v>10</v>
      </c>
      <c r="D909">
        <v>3</v>
      </c>
      <c r="E909" t="str">
        <f t="shared" si="85"/>
        <v>03</v>
      </c>
      <c r="F909">
        <v>6</v>
      </c>
      <c r="G909" t="str">
        <f t="shared" si="86"/>
        <v>06</v>
      </c>
      <c r="H909">
        <v>2016</v>
      </c>
      <c r="I909" t="str">
        <f t="shared" si="87"/>
        <v>201606</v>
      </c>
      <c r="J909" t="str">
        <f t="shared" si="89"/>
        <v>https://www.euro-millions.com/results/03-06-2016</v>
      </c>
      <c r="K909" t="str">
        <f t="shared" si="88"/>
        <v>http://lottery.merseyworld.com/Euro/archive/Lott908.html</v>
      </c>
    </row>
    <row r="910" spans="1:11" x14ac:dyDescent="0.25">
      <c r="A910">
        <v>909</v>
      </c>
      <c r="B910" s="2" t="str">
        <f t="shared" si="84"/>
        <v>07-06-2016</v>
      </c>
      <c r="C910" t="s">
        <v>16</v>
      </c>
      <c r="D910">
        <v>7</v>
      </c>
      <c r="E910" t="str">
        <f t="shared" si="85"/>
        <v>07</v>
      </c>
      <c r="F910">
        <v>6</v>
      </c>
      <c r="G910" t="str">
        <f t="shared" si="86"/>
        <v>06</v>
      </c>
      <c r="H910">
        <v>2016</v>
      </c>
      <c r="I910" t="str">
        <f t="shared" si="87"/>
        <v>201606</v>
      </c>
      <c r="J910" t="str">
        <f t="shared" si="89"/>
        <v>https://www.euro-millions.com/results/07-06-2016</v>
      </c>
      <c r="K910" t="str">
        <f t="shared" si="88"/>
        <v>http://lottery.merseyworld.com/Euro/archive/Lott909.html</v>
      </c>
    </row>
    <row r="911" spans="1:11" x14ac:dyDescent="0.25">
      <c r="A911">
        <v>910</v>
      </c>
      <c r="B911" s="2" t="str">
        <f t="shared" si="84"/>
        <v>10-06-2016</v>
      </c>
      <c r="C911" t="s">
        <v>10</v>
      </c>
      <c r="D911">
        <v>10</v>
      </c>
      <c r="E911" t="str">
        <f t="shared" si="85"/>
        <v>10</v>
      </c>
      <c r="F911">
        <v>6</v>
      </c>
      <c r="G911" t="str">
        <f t="shared" si="86"/>
        <v>06</v>
      </c>
      <c r="H911">
        <v>2016</v>
      </c>
      <c r="I911" t="str">
        <f t="shared" si="87"/>
        <v>201606</v>
      </c>
      <c r="J911" t="str">
        <f t="shared" si="89"/>
        <v>https://www.euro-millions.com/results/10-06-2016</v>
      </c>
      <c r="K911" t="str">
        <f t="shared" si="88"/>
        <v>http://lottery.merseyworld.com/Euro/archive/Lott910.html</v>
      </c>
    </row>
    <row r="912" spans="1:11" x14ac:dyDescent="0.25">
      <c r="A912">
        <v>911</v>
      </c>
      <c r="B912" s="2" t="str">
        <f t="shared" si="84"/>
        <v>14-06-2016</v>
      </c>
      <c r="C912" t="s">
        <v>16</v>
      </c>
      <c r="D912">
        <v>14</v>
      </c>
      <c r="E912" t="str">
        <f t="shared" si="85"/>
        <v>14</v>
      </c>
      <c r="F912">
        <v>6</v>
      </c>
      <c r="G912" t="str">
        <f t="shared" si="86"/>
        <v>06</v>
      </c>
      <c r="H912">
        <v>2016</v>
      </c>
      <c r="I912" t="str">
        <f t="shared" si="87"/>
        <v>201606</v>
      </c>
      <c r="J912" t="str">
        <f t="shared" si="89"/>
        <v>https://www.euro-millions.com/results/14-06-2016</v>
      </c>
      <c r="K912" t="str">
        <f t="shared" si="88"/>
        <v>http://lottery.merseyworld.com/Euro/archive/Lott911.html</v>
      </c>
    </row>
    <row r="913" spans="1:11" x14ac:dyDescent="0.25">
      <c r="A913">
        <v>912</v>
      </c>
      <c r="B913" s="2" t="str">
        <f t="shared" si="84"/>
        <v>17-06-2016</v>
      </c>
      <c r="C913" t="s">
        <v>10</v>
      </c>
      <c r="D913">
        <v>17</v>
      </c>
      <c r="E913" t="str">
        <f t="shared" si="85"/>
        <v>17</v>
      </c>
      <c r="F913">
        <v>6</v>
      </c>
      <c r="G913" t="str">
        <f t="shared" si="86"/>
        <v>06</v>
      </c>
      <c r="H913">
        <v>2016</v>
      </c>
      <c r="I913" t="str">
        <f t="shared" si="87"/>
        <v>201606</v>
      </c>
      <c r="J913" t="str">
        <f t="shared" si="89"/>
        <v>https://www.euro-millions.com/results/17-06-2016</v>
      </c>
      <c r="K913" t="str">
        <f t="shared" si="88"/>
        <v>http://lottery.merseyworld.com/Euro/archive/Lott912.html</v>
      </c>
    </row>
    <row r="914" spans="1:11" x14ac:dyDescent="0.25">
      <c r="A914">
        <v>913</v>
      </c>
      <c r="B914" s="2" t="str">
        <f t="shared" si="84"/>
        <v>21-06-2016</v>
      </c>
      <c r="C914" t="s">
        <v>16</v>
      </c>
      <c r="D914">
        <v>21</v>
      </c>
      <c r="E914" t="str">
        <f t="shared" si="85"/>
        <v>21</v>
      </c>
      <c r="F914">
        <v>6</v>
      </c>
      <c r="G914" t="str">
        <f t="shared" si="86"/>
        <v>06</v>
      </c>
      <c r="H914">
        <v>2016</v>
      </c>
      <c r="I914" t="str">
        <f t="shared" si="87"/>
        <v>201606</v>
      </c>
      <c r="J914" t="str">
        <f t="shared" si="89"/>
        <v>https://www.euro-millions.com/results/21-06-2016</v>
      </c>
      <c r="K914" t="str">
        <f t="shared" si="88"/>
        <v>http://lottery.merseyworld.com/Euro/archive/Lott913.html</v>
      </c>
    </row>
    <row r="915" spans="1:11" x14ac:dyDescent="0.25">
      <c r="A915">
        <v>914</v>
      </c>
      <c r="B915" s="2" t="str">
        <f t="shared" si="84"/>
        <v>24-06-2016</v>
      </c>
      <c r="C915" t="s">
        <v>10</v>
      </c>
      <c r="D915">
        <v>24</v>
      </c>
      <c r="E915" t="str">
        <f t="shared" si="85"/>
        <v>24</v>
      </c>
      <c r="F915">
        <v>6</v>
      </c>
      <c r="G915" t="str">
        <f t="shared" si="86"/>
        <v>06</v>
      </c>
      <c r="H915">
        <v>2016</v>
      </c>
      <c r="I915" t="str">
        <f t="shared" si="87"/>
        <v>201606</v>
      </c>
      <c r="J915" t="str">
        <f t="shared" si="89"/>
        <v>https://www.euro-millions.com/results/24-06-2016</v>
      </c>
      <c r="K915" t="str">
        <f t="shared" si="88"/>
        <v>http://lottery.merseyworld.com/Euro/archive/Lott914.html</v>
      </c>
    </row>
    <row r="916" spans="1:11" x14ac:dyDescent="0.25">
      <c r="A916">
        <v>915</v>
      </c>
      <c r="B916" s="2" t="str">
        <f t="shared" si="84"/>
        <v>28-06-2016</v>
      </c>
      <c r="C916" t="s">
        <v>16</v>
      </c>
      <c r="D916">
        <v>28</v>
      </c>
      <c r="E916" t="str">
        <f t="shared" si="85"/>
        <v>28</v>
      </c>
      <c r="F916">
        <v>6</v>
      </c>
      <c r="G916" t="str">
        <f t="shared" si="86"/>
        <v>06</v>
      </c>
      <c r="H916">
        <v>2016</v>
      </c>
      <c r="I916" t="str">
        <f t="shared" si="87"/>
        <v>201606</v>
      </c>
      <c r="J916" t="str">
        <f t="shared" si="89"/>
        <v>https://www.euro-millions.com/results/28-06-2016</v>
      </c>
      <c r="K916" t="str">
        <f t="shared" si="88"/>
        <v>http://lottery.merseyworld.com/Euro/archive/Lott915.html</v>
      </c>
    </row>
    <row r="917" spans="1:11" x14ac:dyDescent="0.25">
      <c r="A917">
        <v>916</v>
      </c>
      <c r="B917" s="2" t="str">
        <f t="shared" si="84"/>
        <v>01-07-2016</v>
      </c>
      <c r="C917" t="s">
        <v>10</v>
      </c>
      <c r="D917">
        <v>1</v>
      </c>
      <c r="E917" t="str">
        <f t="shared" si="85"/>
        <v>01</v>
      </c>
      <c r="F917">
        <v>7</v>
      </c>
      <c r="G917" t="str">
        <f t="shared" si="86"/>
        <v>07</v>
      </c>
      <c r="H917">
        <v>2016</v>
      </c>
      <c r="I917" t="str">
        <f t="shared" si="87"/>
        <v>201607</v>
      </c>
      <c r="J917" t="str">
        <f t="shared" si="89"/>
        <v>https://www.euro-millions.com/results/01-07-2016</v>
      </c>
      <c r="K917" t="str">
        <f t="shared" si="88"/>
        <v>http://lottery.merseyworld.com/Euro/archive/Lott916.html</v>
      </c>
    </row>
    <row r="918" spans="1:11" x14ac:dyDescent="0.25">
      <c r="A918">
        <v>917</v>
      </c>
      <c r="B918" s="2" t="str">
        <f t="shared" si="84"/>
        <v>05-07-2016</v>
      </c>
      <c r="C918" t="s">
        <v>16</v>
      </c>
      <c r="D918">
        <v>5</v>
      </c>
      <c r="E918" t="str">
        <f t="shared" si="85"/>
        <v>05</v>
      </c>
      <c r="F918">
        <v>7</v>
      </c>
      <c r="G918" t="str">
        <f t="shared" si="86"/>
        <v>07</v>
      </c>
      <c r="H918">
        <v>2016</v>
      </c>
      <c r="I918" t="str">
        <f t="shared" si="87"/>
        <v>201607</v>
      </c>
      <c r="J918" t="str">
        <f t="shared" si="89"/>
        <v>https://www.euro-millions.com/results/05-07-2016</v>
      </c>
      <c r="K918" t="str">
        <f t="shared" si="88"/>
        <v>http://lottery.merseyworld.com/Euro/archive/Lott917.html</v>
      </c>
    </row>
    <row r="919" spans="1:11" x14ac:dyDescent="0.25">
      <c r="A919">
        <v>918</v>
      </c>
      <c r="B919" s="2" t="str">
        <f t="shared" si="84"/>
        <v>08-07-2016</v>
      </c>
      <c r="C919" t="s">
        <v>10</v>
      </c>
      <c r="D919">
        <v>8</v>
      </c>
      <c r="E919" t="str">
        <f t="shared" si="85"/>
        <v>08</v>
      </c>
      <c r="F919">
        <v>7</v>
      </c>
      <c r="G919" t="str">
        <f t="shared" si="86"/>
        <v>07</v>
      </c>
      <c r="H919">
        <v>2016</v>
      </c>
      <c r="I919" t="str">
        <f t="shared" si="87"/>
        <v>201607</v>
      </c>
      <c r="J919" t="str">
        <f t="shared" si="89"/>
        <v>https://www.euro-millions.com/results/08-07-2016</v>
      </c>
      <c r="K919" t="str">
        <f t="shared" si="88"/>
        <v>http://lottery.merseyworld.com/Euro/archive/Lott918.html</v>
      </c>
    </row>
    <row r="920" spans="1:11" x14ac:dyDescent="0.25">
      <c r="A920">
        <v>919</v>
      </c>
      <c r="B920" s="2" t="str">
        <f t="shared" si="84"/>
        <v>12-07-2016</v>
      </c>
      <c r="C920" t="s">
        <v>16</v>
      </c>
      <c r="D920">
        <v>12</v>
      </c>
      <c r="E920" t="str">
        <f t="shared" si="85"/>
        <v>12</v>
      </c>
      <c r="F920">
        <v>7</v>
      </c>
      <c r="G920" t="str">
        <f t="shared" si="86"/>
        <v>07</v>
      </c>
      <c r="H920">
        <v>2016</v>
      </c>
      <c r="I920" t="str">
        <f t="shared" si="87"/>
        <v>201607</v>
      </c>
      <c r="J920" t="str">
        <f t="shared" si="89"/>
        <v>https://www.euro-millions.com/results/12-07-2016</v>
      </c>
      <c r="K920" t="str">
        <f t="shared" si="88"/>
        <v>http://lottery.merseyworld.com/Euro/archive/Lott919.html</v>
      </c>
    </row>
    <row r="921" spans="1:11" x14ac:dyDescent="0.25">
      <c r="A921">
        <v>920</v>
      </c>
      <c r="B921" s="2" t="str">
        <f t="shared" si="84"/>
        <v>15-07-2016</v>
      </c>
      <c r="C921" t="s">
        <v>10</v>
      </c>
      <c r="D921">
        <v>15</v>
      </c>
      <c r="E921" t="str">
        <f t="shared" si="85"/>
        <v>15</v>
      </c>
      <c r="F921">
        <v>7</v>
      </c>
      <c r="G921" t="str">
        <f t="shared" si="86"/>
        <v>07</v>
      </c>
      <c r="H921">
        <v>2016</v>
      </c>
      <c r="I921" t="str">
        <f t="shared" si="87"/>
        <v>201607</v>
      </c>
      <c r="J921" t="str">
        <f t="shared" si="89"/>
        <v>https://www.euro-millions.com/results/15-07-2016</v>
      </c>
      <c r="K921" t="str">
        <f t="shared" si="88"/>
        <v>http://lottery.merseyworld.com/Euro/archive/Lott920.html</v>
      </c>
    </row>
    <row r="922" spans="1:11" x14ac:dyDescent="0.25">
      <c r="A922">
        <v>921</v>
      </c>
      <c r="B922" s="2" t="str">
        <f t="shared" si="84"/>
        <v>19-07-2016</v>
      </c>
      <c r="C922" t="s">
        <v>16</v>
      </c>
      <c r="D922">
        <v>19</v>
      </c>
      <c r="E922" t="str">
        <f t="shared" si="85"/>
        <v>19</v>
      </c>
      <c r="F922">
        <v>7</v>
      </c>
      <c r="G922" t="str">
        <f t="shared" si="86"/>
        <v>07</v>
      </c>
      <c r="H922">
        <v>2016</v>
      </c>
      <c r="I922" t="str">
        <f t="shared" si="87"/>
        <v>201607</v>
      </c>
      <c r="J922" t="str">
        <f t="shared" si="89"/>
        <v>https://www.euro-millions.com/results/19-07-2016</v>
      </c>
      <c r="K922" t="str">
        <f t="shared" si="88"/>
        <v>http://lottery.merseyworld.com/Euro/archive/Lott921.html</v>
      </c>
    </row>
    <row r="923" spans="1:11" x14ac:dyDescent="0.25">
      <c r="A923">
        <v>922</v>
      </c>
      <c r="B923" s="2" t="str">
        <f t="shared" si="84"/>
        <v>22-07-2016</v>
      </c>
      <c r="C923" t="s">
        <v>10</v>
      </c>
      <c r="D923">
        <v>22</v>
      </c>
      <c r="E923" t="str">
        <f t="shared" si="85"/>
        <v>22</v>
      </c>
      <c r="F923">
        <v>7</v>
      </c>
      <c r="G923" t="str">
        <f t="shared" si="86"/>
        <v>07</v>
      </c>
      <c r="H923">
        <v>2016</v>
      </c>
      <c r="I923" t="str">
        <f t="shared" si="87"/>
        <v>201607</v>
      </c>
      <c r="J923" t="str">
        <f t="shared" si="89"/>
        <v>https://www.euro-millions.com/results/22-07-2016</v>
      </c>
      <c r="K923" t="str">
        <f t="shared" si="88"/>
        <v>http://lottery.merseyworld.com/Euro/archive/Lott922.html</v>
      </c>
    </row>
    <row r="924" spans="1:11" x14ac:dyDescent="0.25">
      <c r="A924">
        <v>923</v>
      </c>
      <c r="B924" s="2" t="str">
        <f t="shared" si="84"/>
        <v>26-07-2016</v>
      </c>
      <c r="C924" t="s">
        <v>16</v>
      </c>
      <c r="D924">
        <v>26</v>
      </c>
      <c r="E924" t="str">
        <f t="shared" si="85"/>
        <v>26</v>
      </c>
      <c r="F924">
        <v>7</v>
      </c>
      <c r="G924" t="str">
        <f t="shared" si="86"/>
        <v>07</v>
      </c>
      <c r="H924">
        <v>2016</v>
      </c>
      <c r="I924" t="str">
        <f t="shared" si="87"/>
        <v>201607</v>
      </c>
      <c r="J924" t="str">
        <f t="shared" si="89"/>
        <v>https://www.euro-millions.com/results/26-07-2016</v>
      </c>
      <c r="K924" t="str">
        <f t="shared" si="88"/>
        <v>http://lottery.merseyworld.com/Euro/archive/Lott923.html</v>
      </c>
    </row>
    <row r="925" spans="1:11" x14ac:dyDescent="0.25">
      <c r="A925">
        <v>924</v>
      </c>
      <c r="B925" s="2" t="str">
        <f t="shared" si="84"/>
        <v>29-07-2016</v>
      </c>
      <c r="C925" t="s">
        <v>10</v>
      </c>
      <c r="D925">
        <v>29</v>
      </c>
      <c r="E925" t="str">
        <f t="shared" si="85"/>
        <v>29</v>
      </c>
      <c r="F925">
        <v>7</v>
      </c>
      <c r="G925" t="str">
        <f t="shared" si="86"/>
        <v>07</v>
      </c>
      <c r="H925">
        <v>2016</v>
      </c>
      <c r="I925" t="str">
        <f t="shared" si="87"/>
        <v>201607</v>
      </c>
      <c r="J925" t="str">
        <f t="shared" si="89"/>
        <v>https://www.euro-millions.com/results/29-07-2016</v>
      </c>
      <c r="K925" t="str">
        <f t="shared" si="88"/>
        <v>http://lottery.merseyworld.com/Euro/archive/Lott924.html</v>
      </c>
    </row>
    <row r="926" spans="1:11" x14ac:dyDescent="0.25">
      <c r="A926">
        <v>925</v>
      </c>
      <c r="B926" s="2" t="str">
        <f t="shared" si="84"/>
        <v>02-08-2016</v>
      </c>
      <c r="C926" t="s">
        <v>16</v>
      </c>
      <c r="D926">
        <v>2</v>
      </c>
      <c r="E926" t="str">
        <f t="shared" si="85"/>
        <v>02</v>
      </c>
      <c r="F926">
        <v>8</v>
      </c>
      <c r="G926" t="str">
        <f t="shared" si="86"/>
        <v>08</v>
      </c>
      <c r="H926">
        <v>2016</v>
      </c>
      <c r="I926" t="str">
        <f t="shared" si="87"/>
        <v>201608</v>
      </c>
      <c r="J926" t="str">
        <f t="shared" si="89"/>
        <v>https://www.euro-millions.com/results/02-08-2016</v>
      </c>
      <c r="K926" t="str">
        <f t="shared" si="88"/>
        <v>http://lottery.merseyworld.com/Euro/archive/Lott925.html</v>
      </c>
    </row>
    <row r="927" spans="1:11" x14ac:dyDescent="0.25">
      <c r="A927">
        <v>926</v>
      </c>
      <c r="B927" s="2" t="str">
        <f t="shared" si="84"/>
        <v>05-08-2016</v>
      </c>
      <c r="C927" t="s">
        <v>10</v>
      </c>
      <c r="D927">
        <v>5</v>
      </c>
      <c r="E927" t="str">
        <f t="shared" si="85"/>
        <v>05</v>
      </c>
      <c r="F927">
        <v>8</v>
      </c>
      <c r="G927" t="str">
        <f t="shared" si="86"/>
        <v>08</v>
      </c>
      <c r="H927">
        <v>2016</v>
      </c>
      <c r="I927" t="str">
        <f t="shared" si="87"/>
        <v>201608</v>
      </c>
      <c r="J927" t="str">
        <f t="shared" si="89"/>
        <v>https://www.euro-millions.com/results/05-08-2016</v>
      </c>
      <c r="K927" t="str">
        <f t="shared" si="88"/>
        <v>http://lottery.merseyworld.com/Euro/archive/Lott926.html</v>
      </c>
    </row>
    <row r="928" spans="1:11" x14ac:dyDescent="0.25">
      <c r="A928">
        <v>927</v>
      </c>
      <c r="B928" s="2" t="str">
        <f t="shared" si="84"/>
        <v>09-08-2016</v>
      </c>
      <c r="C928" t="s">
        <v>16</v>
      </c>
      <c r="D928">
        <v>9</v>
      </c>
      <c r="E928" t="str">
        <f t="shared" si="85"/>
        <v>09</v>
      </c>
      <c r="F928">
        <v>8</v>
      </c>
      <c r="G928" t="str">
        <f t="shared" si="86"/>
        <v>08</v>
      </c>
      <c r="H928">
        <v>2016</v>
      </c>
      <c r="I928" t="str">
        <f t="shared" si="87"/>
        <v>201608</v>
      </c>
      <c r="J928" t="str">
        <f t="shared" si="89"/>
        <v>https://www.euro-millions.com/results/09-08-2016</v>
      </c>
      <c r="K928" t="str">
        <f t="shared" si="88"/>
        <v>http://lottery.merseyworld.com/Euro/archive/Lott927.html</v>
      </c>
    </row>
    <row r="929" spans="1:11" x14ac:dyDescent="0.25">
      <c r="A929">
        <v>928</v>
      </c>
      <c r="B929" s="2" t="str">
        <f t="shared" si="84"/>
        <v>12-08-2016</v>
      </c>
      <c r="C929" t="s">
        <v>10</v>
      </c>
      <c r="D929">
        <v>12</v>
      </c>
      <c r="E929" t="str">
        <f t="shared" si="85"/>
        <v>12</v>
      </c>
      <c r="F929">
        <v>8</v>
      </c>
      <c r="G929" t="str">
        <f t="shared" si="86"/>
        <v>08</v>
      </c>
      <c r="H929">
        <v>2016</v>
      </c>
      <c r="I929" t="str">
        <f t="shared" si="87"/>
        <v>201608</v>
      </c>
      <c r="J929" t="str">
        <f t="shared" si="89"/>
        <v>https://www.euro-millions.com/results/12-08-2016</v>
      </c>
      <c r="K929" t="str">
        <f t="shared" si="88"/>
        <v>http://lottery.merseyworld.com/Euro/archive/Lott928.html</v>
      </c>
    </row>
    <row r="930" spans="1:11" x14ac:dyDescent="0.25">
      <c r="A930">
        <v>929</v>
      </c>
      <c r="B930" s="2" t="str">
        <f t="shared" si="84"/>
        <v>16-08-2016</v>
      </c>
      <c r="C930" t="s">
        <v>16</v>
      </c>
      <c r="D930">
        <v>16</v>
      </c>
      <c r="E930" t="str">
        <f t="shared" si="85"/>
        <v>16</v>
      </c>
      <c r="F930">
        <v>8</v>
      </c>
      <c r="G930" t="str">
        <f t="shared" si="86"/>
        <v>08</v>
      </c>
      <c r="H930">
        <v>2016</v>
      </c>
      <c r="I930" t="str">
        <f t="shared" si="87"/>
        <v>201608</v>
      </c>
      <c r="J930" t="str">
        <f t="shared" si="89"/>
        <v>https://www.euro-millions.com/results/16-08-2016</v>
      </c>
      <c r="K930" t="str">
        <f t="shared" si="88"/>
        <v>http://lottery.merseyworld.com/Euro/archive/Lott929.html</v>
      </c>
    </row>
    <row r="931" spans="1:11" x14ac:dyDescent="0.25">
      <c r="A931">
        <v>930</v>
      </c>
      <c r="B931" s="2" t="str">
        <f t="shared" si="84"/>
        <v>19-08-2016</v>
      </c>
      <c r="C931" t="s">
        <v>10</v>
      </c>
      <c r="D931">
        <v>19</v>
      </c>
      <c r="E931" t="str">
        <f t="shared" si="85"/>
        <v>19</v>
      </c>
      <c r="F931">
        <v>8</v>
      </c>
      <c r="G931" t="str">
        <f t="shared" si="86"/>
        <v>08</v>
      </c>
      <c r="H931">
        <v>2016</v>
      </c>
      <c r="I931" t="str">
        <f t="shared" si="87"/>
        <v>201608</v>
      </c>
      <c r="J931" t="str">
        <f t="shared" si="89"/>
        <v>https://www.euro-millions.com/results/19-08-2016</v>
      </c>
      <c r="K931" t="str">
        <f t="shared" si="88"/>
        <v>http://lottery.merseyworld.com/Euro/archive/Lott930.html</v>
      </c>
    </row>
    <row r="932" spans="1:11" x14ac:dyDescent="0.25">
      <c r="A932">
        <v>931</v>
      </c>
      <c r="B932" s="2" t="str">
        <f t="shared" si="84"/>
        <v>23-08-2016</v>
      </c>
      <c r="C932" t="s">
        <v>16</v>
      </c>
      <c r="D932">
        <v>23</v>
      </c>
      <c r="E932" t="str">
        <f t="shared" si="85"/>
        <v>23</v>
      </c>
      <c r="F932">
        <v>8</v>
      </c>
      <c r="G932" t="str">
        <f t="shared" si="86"/>
        <v>08</v>
      </c>
      <c r="H932">
        <v>2016</v>
      </c>
      <c r="I932" t="str">
        <f t="shared" si="87"/>
        <v>201608</v>
      </c>
      <c r="J932" t="str">
        <f t="shared" si="89"/>
        <v>https://www.euro-millions.com/results/23-08-2016</v>
      </c>
      <c r="K932" t="str">
        <f t="shared" si="88"/>
        <v>http://lottery.merseyworld.com/Euro/archive/Lott931.html</v>
      </c>
    </row>
    <row r="933" spans="1:11" x14ac:dyDescent="0.25">
      <c r="A933">
        <v>932</v>
      </c>
      <c r="B933" s="2" t="str">
        <f t="shared" si="84"/>
        <v>26-08-2016</v>
      </c>
      <c r="C933" t="s">
        <v>10</v>
      </c>
      <c r="D933">
        <v>26</v>
      </c>
      <c r="E933" t="str">
        <f t="shared" si="85"/>
        <v>26</v>
      </c>
      <c r="F933">
        <v>8</v>
      </c>
      <c r="G933" t="str">
        <f t="shared" si="86"/>
        <v>08</v>
      </c>
      <c r="H933">
        <v>2016</v>
      </c>
      <c r="I933" t="str">
        <f t="shared" si="87"/>
        <v>201608</v>
      </c>
      <c r="J933" t="str">
        <f t="shared" si="89"/>
        <v>https://www.euro-millions.com/results/26-08-2016</v>
      </c>
      <c r="K933" t="str">
        <f t="shared" si="88"/>
        <v>http://lottery.merseyworld.com/Euro/archive/Lott932.html</v>
      </c>
    </row>
    <row r="934" spans="1:11" x14ac:dyDescent="0.25">
      <c r="A934">
        <v>933</v>
      </c>
      <c r="B934" s="2" t="str">
        <f t="shared" si="84"/>
        <v>30-08-2016</v>
      </c>
      <c r="C934" t="s">
        <v>16</v>
      </c>
      <c r="D934">
        <v>30</v>
      </c>
      <c r="E934" t="str">
        <f t="shared" si="85"/>
        <v>30</v>
      </c>
      <c r="F934">
        <v>8</v>
      </c>
      <c r="G934" t="str">
        <f t="shared" si="86"/>
        <v>08</v>
      </c>
      <c r="H934">
        <v>2016</v>
      </c>
      <c r="I934" t="str">
        <f t="shared" si="87"/>
        <v>201608</v>
      </c>
      <c r="J934" t="str">
        <f t="shared" si="89"/>
        <v>https://www.euro-millions.com/results/30-08-2016</v>
      </c>
      <c r="K934" t="str">
        <f t="shared" si="88"/>
        <v>http://lottery.merseyworld.com/Euro/archive/Lott933.html</v>
      </c>
    </row>
    <row r="935" spans="1:11" x14ac:dyDescent="0.25">
      <c r="A935">
        <v>934</v>
      </c>
      <c r="B935" s="2" t="str">
        <f t="shared" si="84"/>
        <v>02-09-2016</v>
      </c>
      <c r="C935" t="s">
        <v>10</v>
      </c>
      <c r="D935">
        <v>2</v>
      </c>
      <c r="E935" t="str">
        <f t="shared" si="85"/>
        <v>02</v>
      </c>
      <c r="F935">
        <v>9</v>
      </c>
      <c r="G935" t="str">
        <f t="shared" si="86"/>
        <v>09</v>
      </c>
      <c r="H935">
        <v>2016</v>
      </c>
      <c r="I935" t="str">
        <f t="shared" si="87"/>
        <v>201609</v>
      </c>
      <c r="J935" t="str">
        <f t="shared" si="89"/>
        <v>https://www.euro-millions.com/results/02-09-2016</v>
      </c>
      <c r="K935" t="str">
        <f t="shared" si="88"/>
        <v>http://lottery.merseyworld.com/Euro/archive/Lott934.html</v>
      </c>
    </row>
    <row r="936" spans="1:11" x14ac:dyDescent="0.25">
      <c r="A936">
        <v>935</v>
      </c>
      <c r="B936" s="2" t="str">
        <f t="shared" si="84"/>
        <v>06-09-2016</v>
      </c>
      <c r="C936" t="s">
        <v>16</v>
      </c>
      <c r="D936">
        <v>6</v>
      </c>
      <c r="E936" t="str">
        <f t="shared" si="85"/>
        <v>06</v>
      </c>
      <c r="F936">
        <v>9</v>
      </c>
      <c r="G936" t="str">
        <f t="shared" si="86"/>
        <v>09</v>
      </c>
      <c r="H936">
        <v>2016</v>
      </c>
      <c r="I936" t="str">
        <f t="shared" si="87"/>
        <v>201609</v>
      </c>
      <c r="J936" t="str">
        <f t="shared" si="89"/>
        <v>https://www.euro-millions.com/results/06-09-2016</v>
      </c>
      <c r="K936" t="str">
        <f t="shared" si="88"/>
        <v>http://lottery.merseyworld.com/Euro/archive/Lott935.html</v>
      </c>
    </row>
    <row r="937" spans="1:11" x14ac:dyDescent="0.25">
      <c r="A937">
        <v>936</v>
      </c>
      <c r="B937" s="2" t="str">
        <f t="shared" si="84"/>
        <v>09-09-2016</v>
      </c>
      <c r="C937" t="s">
        <v>10</v>
      </c>
      <c r="D937">
        <v>9</v>
      </c>
      <c r="E937" t="str">
        <f t="shared" si="85"/>
        <v>09</v>
      </c>
      <c r="F937">
        <v>9</v>
      </c>
      <c r="G937" t="str">
        <f t="shared" si="86"/>
        <v>09</v>
      </c>
      <c r="H937">
        <v>2016</v>
      </c>
      <c r="I937" t="str">
        <f t="shared" si="87"/>
        <v>201609</v>
      </c>
      <c r="J937" t="str">
        <f t="shared" si="89"/>
        <v>https://www.euro-millions.com/results/09-09-2016</v>
      </c>
      <c r="K937" t="str">
        <f t="shared" si="88"/>
        <v>http://lottery.merseyworld.com/Euro/archive/Lott936.html</v>
      </c>
    </row>
    <row r="938" spans="1:11" x14ac:dyDescent="0.25">
      <c r="A938">
        <v>937</v>
      </c>
      <c r="B938" s="2" t="str">
        <f t="shared" si="84"/>
        <v>13-09-2016</v>
      </c>
      <c r="C938" t="s">
        <v>16</v>
      </c>
      <c r="D938">
        <v>13</v>
      </c>
      <c r="E938" t="str">
        <f t="shared" si="85"/>
        <v>13</v>
      </c>
      <c r="F938">
        <v>9</v>
      </c>
      <c r="G938" t="str">
        <f t="shared" si="86"/>
        <v>09</v>
      </c>
      <c r="H938">
        <v>2016</v>
      </c>
      <c r="I938" t="str">
        <f t="shared" si="87"/>
        <v>201609</v>
      </c>
      <c r="J938" t="str">
        <f t="shared" si="89"/>
        <v>https://www.euro-millions.com/results/13-09-2016</v>
      </c>
      <c r="K938" t="str">
        <f t="shared" si="88"/>
        <v>http://lottery.merseyworld.com/Euro/archive/Lott937.html</v>
      </c>
    </row>
    <row r="939" spans="1:11" x14ac:dyDescent="0.25">
      <c r="A939">
        <v>938</v>
      </c>
      <c r="B939" s="2" t="str">
        <f t="shared" si="84"/>
        <v>16-09-2016</v>
      </c>
      <c r="C939" t="s">
        <v>10</v>
      </c>
      <c r="D939">
        <v>16</v>
      </c>
      <c r="E939" t="str">
        <f t="shared" si="85"/>
        <v>16</v>
      </c>
      <c r="F939">
        <v>9</v>
      </c>
      <c r="G939" t="str">
        <f t="shared" si="86"/>
        <v>09</v>
      </c>
      <c r="H939">
        <v>2016</v>
      </c>
      <c r="I939" t="str">
        <f t="shared" si="87"/>
        <v>201609</v>
      </c>
      <c r="J939" t="str">
        <f t="shared" si="89"/>
        <v>https://www.euro-millions.com/results/16-09-2016</v>
      </c>
      <c r="K939" t="str">
        <f t="shared" si="88"/>
        <v>http://lottery.merseyworld.com/Euro/archive/Lott938.html</v>
      </c>
    </row>
    <row r="940" spans="1:11" x14ac:dyDescent="0.25">
      <c r="A940">
        <v>939</v>
      </c>
      <c r="B940" s="2" t="str">
        <f t="shared" si="84"/>
        <v>20-09-2016</v>
      </c>
      <c r="C940" t="s">
        <v>16</v>
      </c>
      <c r="D940">
        <v>20</v>
      </c>
      <c r="E940" t="str">
        <f t="shared" si="85"/>
        <v>20</v>
      </c>
      <c r="F940">
        <v>9</v>
      </c>
      <c r="G940" t="str">
        <f t="shared" si="86"/>
        <v>09</v>
      </c>
      <c r="H940">
        <v>2016</v>
      </c>
      <c r="I940" t="str">
        <f t="shared" si="87"/>
        <v>201609</v>
      </c>
      <c r="J940" t="str">
        <f t="shared" si="89"/>
        <v>https://www.euro-millions.com/results/20-09-2016</v>
      </c>
      <c r="K940" t="str">
        <f t="shared" si="88"/>
        <v>http://lottery.merseyworld.com/Euro/archive/Lott939.html</v>
      </c>
    </row>
    <row r="941" spans="1:11" x14ac:dyDescent="0.25">
      <c r="A941">
        <v>940</v>
      </c>
      <c r="B941" s="2" t="str">
        <f t="shared" si="84"/>
        <v>23-09-2016</v>
      </c>
      <c r="C941" t="s">
        <v>10</v>
      </c>
      <c r="D941">
        <v>23</v>
      </c>
      <c r="E941" t="str">
        <f t="shared" si="85"/>
        <v>23</v>
      </c>
      <c r="F941">
        <v>9</v>
      </c>
      <c r="G941" t="str">
        <f t="shared" si="86"/>
        <v>09</v>
      </c>
      <c r="H941">
        <v>2016</v>
      </c>
      <c r="I941" t="str">
        <f t="shared" si="87"/>
        <v>201609</v>
      </c>
      <c r="J941" t="str">
        <f t="shared" si="89"/>
        <v>https://www.euro-millions.com/results/23-09-2016</v>
      </c>
      <c r="K941" t="str">
        <f t="shared" si="88"/>
        <v>http://lottery.merseyworld.com/Euro/archive/Lott940.html</v>
      </c>
    </row>
    <row r="942" spans="1:11" x14ac:dyDescent="0.25">
      <c r="A942">
        <v>941</v>
      </c>
      <c r="B942" s="2" t="str">
        <f t="shared" si="84"/>
        <v>27-09-2016</v>
      </c>
      <c r="C942" t="s">
        <v>16</v>
      </c>
      <c r="D942">
        <v>27</v>
      </c>
      <c r="E942" t="str">
        <f t="shared" si="85"/>
        <v>27</v>
      </c>
      <c r="F942">
        <v>9</v>
      </c>
      <c r="G942" t="str">
        <f t="shared" si="86"/>
        <v>09</v>
      </c>
      <c r="H942">
        <v>2016</v>
      </c>
      <c r="I942" t="str">
        <f t="shared" si="87"/>
        <v>201609</v>
      </c>
      <c r="J942" t="str">
        <f t="shared" si="89"/>
        <v>https://www.euro-millions.com/results/27-09-2016</v>
      </c>
      <c r="K942" t="str">
        <f t="shared" si="88"/>
        <v>http://lottery.merseyworld.com/Euro/archive/Lott941.html</v>
      </c>
    </row>
    <row r="943" spans="1:11" x14ac:dyDescent="0.25">
      <c r="A943">
        <v>942</v>
      </c>
      <c r="B943" s="2" t="str">
        <f t="shared" si="84"/>
        <v>30-09-2016</v>
      </c>
      <c r="C943" t="s">
        <v>10</v>
      </c>
      <c r="D943">
        <v>30</v>
      </c>
      <c r="E943" t="str">
        <f t="shared" si="85"/>
        <v>30</v>
      </c>
      <c r="F943">
        <v>9</v>
      </c>
      <c r="G943" t="str">
        <f t="shared" si="86"/>
        <v>09</v>
      </c>
      <c r="H943">
        <v>2016</v>
      </c>
      <c r="I943" t="str">
        <f t="shared" si="87"/>
        <v>201609</v>
      </c>
      <c r="J943" t="str">
        <f t="shared" si="89"/>
        <v>https://www.euro-millions.com/results/30-09-2016</v>
      </c>
      <c r="K943" t="str">
        <f t="shared" si="88"/>
        <v>http://lottery.merseyworld.com/Euro/archive/Lott942.html</v>
      </c>
    </row>
    <row r="944" spans="1:11" x14ac:dyDescent="0.25">
      <c r="A944">
        <v>943</v>
      </c>
      <c r="B944" s="2" t="str">
        <f t="shared" si="84"/>
        <v>04-10-2016</v>
      </c>
      <c r="C944" t="s">
        <v>16</v>
      </c>
      <c r="D944">
        <v>4</v>
      </c>
      <c r="E944" t="str">
        <f t="shared" si="85"/>
        <v>04</v>
      </c>
      <c r="F944">
        <v>10</v>
      </c>
      <c r="G944" t="str">
        <f t="shared" si="86"/>
        <v>10</v>
      </c>
      <c r="H944">
        <v>2016</v>
      </c>
      <c r="I944" t="str">
        <f t="shared" si="87"/>
        <v>201610</v>
      </c>
      <c r="J944" t="str">
        <f t="shared" si="89"/>
        <v>https://www.euro-millions.com/results/04-10-2016</v>
      </c>
      <c r="K944" t="str">
        <f t="shared" si="88"/>
        <v>http://lottery.merseyworld.com/Euro/archive/Lott943.html</v>
      </c>
    </row>
    <row r="945" spans="1:11" x14ac:dyDescent="0.25">
      <c r="A945">
        <v>944</v>
      </c>
      <c r="B945" s="2" t="str">
        <f t="shared" si="84"/>
        <v>07-10-2016</v>
      </c>
      <c r="C945" t="s">
        <v>10</v>
      </c>
      <c r="D945">
        <v>7</v>
      </c>
      <c r="E945" t="str">
        <f t="shared" si="85"/>
        <v>07</v>
      </c>
      <c r="F945">
        <v>10</v>
      </c>
      <c r="G945" t="str">
        <f t="shared" si="86"/>
        <v>10</v>
      </c>
      <c r="H945">
        <v>2016</v>
      </c>
      <c r="I945" t="str">
        <f t="shared" si="87"/>
        <v>201610</v>
      </c>
      <c r="J945" t="str">
        <f t="shared" si="89"/>
        <v>https://www.euro-millions.com/results/07-10-2016</v>
      </c>
      <c r="K945" t="str">
        <f t="shared" si="88"/>
        <v>http://lottery.merseyworld.com/Euro/archive/Lott944.html</v>
      </c>
    </row>
    <row r="946" spans="1:11" x14ac:dyDescent="0.25">
      <c r="A946">
        <v>945</v>
      </c>
      <c r="B946" s="2" t="str">
        <f t="shared" si="84"/>
        <v>11-10-2016</v>
      </c>
      <c r="C946" t="s">
        <v>16</v>
      </c>
      <c r="D946">
        <v>11</v>
      </c>
      <c r="E946" t="str">
        <f t="shared" si="85"/>
        <v>11</v>
      </c>
      <c r="F946">
        <v>10</v>
      </c>
      <c r="G946" t="str">
        <f t="shared" si="86"/>
        <v>10</v>
      </c>
      <c r="H946">
        <v>2016</v>
      </c>
      <c r="I946" t="str">
        <f t="shared" si="87"/>
        <v>201610</v>
      </c>
      <c r="J946" t="str">
        <f t="shared" si="89"/>
        <v>https://www.euro-millions.com/results/11-10-2016</v>
      </c>
      <c r="K946" t="str">
        <f t="shared" si="88"/>
        <v>http://lottery.merseyworld.com/Euro/archive/Lott945.html</v>
      </c>
    </row>
    <row r="947" spans="1:11" x14ac:dyDescent="0.25">
      <c r="A947">
        <v>946</v>
      </c>
      <c r="B947" s="2" t="str">
        <f t="shared" si="84"/>
        <v>14-10-2016</v>
      </c>
      <c r="C947" t="s">
        <v>10</v>
      </c>
      <c r="D947">
        <v>14</v>
      </c>
      <c r="E947" t="str">
        <f t="shared" si="85"/>
        <v>14</v>
      </c>
      <c r="F947">
        <v>10</v>
      </c>
      <c r="G947" t="str">
        <f t="shared" si="86"/>
        <v>10</v>
      </c>
      <c r="H947">
        <v>2016</v>
      </c>
      <c r="I947" t="str">
        <f t="shared" si="87"/>
        <v>201610</v>
      </c>
      <c r="J947" t="str">
        <f t="shared" si="89"/>
        <v>https://www.euro-millions.com/results/14-10-2016</v>
      </c>
      <c r="K947" t="str">
        <f t="shared" si="88"/>
        <v>http://lottery.merseyworld.com/Euro/archive/Lott946.html</v>
      </c>
    </row>
    <row r="948" spans="1:11" x14ac:dyDescent="0.25">
      <c r="A948">
        <v>947</v>
      </c>
      <c r="B948" s="2" t="str">
        <f t="shared" si="84"/>
        <v>18-10-2016</v>
      </c>
      <c r="C948" t="s">
        <v>16</v>
      </c>
      <c r="D948">
        <v>18</v>
      </c>
      <c r="E948" t="str">
        <f t="shared" si="85"/>
        <v>18</v>
      </c>
      <c r="F948">
        <v>10</v>
      </c>
      <c r="G948" t="str">
        <f t="shared" si="86"/>
        <v>10</v>
      </c>
      <c r="H948">
        <v>2016</v>
      </c>
      <c r="I948" t="str">
        <f t="shared" si="87"/>
        <v>201610</v>
      </c>
      <c r="J948" t="str">
        <f t="shared" si="89"/>
        <v>https://www.euro-millions.com/results/18-10-2016</v>
      </c>
      <c r="K948" t="str">
        <f t="shared" si="88"/>
        <v>http://lottery.merseyworld.com/Euro/archive/Lott947.html</v>
      </c>
    </row>
    <row r="949" spans="1:11" x14ac:dyDescent="0.25">
      <c r="A949">
        <v>948</v>
      </c>
      <c r="B949" s="2" t="str">
        <f t="shared" si="84"/>
        <v>21-10-2016</v>
      </c>
      <c r="C949" t="s">
        <v>10</v>
      </c>
      <c r="D949">
        <v>21</v>
      </c>
      <c r="E949" t="str">
        <f t="shared" si="85"/>
        <v>21</v>
      </c>
      <c r="F949">
        <v>10</v>
      </c>
      <c r="G949" t="str">
        <f t="shared" si="86"/>
        <v>10</v>
      </c>
      <c r="H949">
        <v>2016</v>
      </c>
      <c r="I949" t="str">
        <f t="shared" si="87"/>
        <v>201610</v>
      </c>
      <c r="J949" t="str">
        <f t="shared" si="89"/>
        <v>https://www.euro-millions.com/results/21-10-2016</v>
      </c>
      <c r="K949" t="str">
        <f t="shared" si="88"/>
        <v>http://lottery.merseyworld.com/Euro/archive/Lott948.html</v>
      </c>
    </row>
    <row r="950" spans="1:11" x14ac:dyDescent="0.25">
      <c r="A950">
        <v>949</v>
      </c>
      <c r="B950" s="2" t="str">
        <f t="shared" si="84"/>
        <v>25-10-2016</v>
      </c>
      <c r="C950" t="s">
        <v>16</v>
      </c>
      <c r="D950">
        <v>25</v>
      </c>
      <c r="E950" t="str">
        <f t="shared" si="85"/>
        <v>25</v>
      </c>
      <c r="F950">
        <v>10</v>
      </c>
      <c r="G950" t="str">
        <f t="shared" si="86"/>
        <v>10</v>
      </c>
      <c r="H950">
        <v>2016</v>
      </c>
      <c r="I950" t="str">
        <f t="shared" si="87"/>
        <v>201610</v>
      </c>
      <c r="J950" t="str">
        <f t="shared" si="89"/>
        <v>https://www.euro-millions.com/results/25-10-2016</v>
      </c>
      <c r="K950" t="str">
        <f t="shared" si="88"/>
        <v>http://lottery.merseyworld.com/Euro/archive/Lott949.html</v>
      </c>
    </row>
    <row r="951" spans="1:11" x14ac:dyDescent="0.25">
      <c r="A951">
        <v>950</v>
      </c>
      <c r="B951" s="2" t="str">
        <f t="shared" si="84"/>
        <v>28-10-2016</v>
      </c>
      <c r="C951" t="s">
        <v>10</v>
      </c>
      <c r="D951">
        <v>28</v>
      </c>
      <c r="E951" t="str">
        <f t="shared" si="85"/>
        <v>28</v>
      </c>
      <c r="F951">
        <v>10</v>
      </c>
      <c r="G951" t="str">
        <f t="shared" si="86"/>
        <v>10</v>
      </c>
      <c r="H951">
        <v>2016</v>
      </c>
      <c r="I951" t="str">
        <f t="shared" si="87"/>
        <v>201610</v>
      </c>
      <c r="J951" t="str">
        <f t="shared" si="89"/>
        <v>https://www.euro-millions.com/results/28-10-2016</v>
      </c>
      <c r="K951" t="str">
        <f t="shared" si="88"/>
        <v>http://lottery.merseyworld.com/Euro/archive/Lott950.html</v>
      </c>
    </row>
    <row r="952" spans="1:11" x14ac:dyDescent="0.25">
      <c r="A952">
        <v>951</v>
      </c>
      <c r="B952" s="2" t="str">
        <f t="shared" si="84"/>
        <v>01-11-2016</v>
      </c>
      <c r="C952" t="s">
        <v>16</v>
      </c>
      <c r="D952">
        <v>1</v>
      </c>
      <c r="E952" t="str">
        <f t="shared" si="85"/>
        <v>01</v>
      </c>
      <c r="F952">
        <v>11</v>
      </c>
      <c r="G952" t="str">
        <f t="shared" si="86"/>
        <v>11</v>
      </c>
      <c r="H952">
        <v>2016</v>
      </c>
      <c r="I952" t="str">
        <f t="shared" si="87"/>
        <v>201611</v>
      </c>
      <c r="J952" t="str">
        <f t="shared" si="89"/>
        <v>https://www.euro-millions.com/results/01-11-2016</v>
      </c>
      <c r="K952" t="str">
        <f t="shared" si="88"/>
        <v>http://lottery.merseyworld.com/Euro/archive/Lott951.html</v>
      </c>
    </row>
    <row r="953" spans="1:11" x14ac:dyDescent="0.25">
      <c r="A953">
        <v>952</v>
      </c>
      <c r="B953" s="2" t="str">
        <f t="shared" si="84"/>
        <v>04-11-2016</v>
      </c>
      <c r="C953" t="s">
        <v>10</v>
      </c>
      <c r="D953">
        <v>4</v>
      </c>
      <c r="E953" t="str">
        <f t="shared" si="85"/>
        <v>04</v>
      </c>
      <c r="F953">
        <v>11</v>
      </c>
      <c r="G953" t="str">
        <f t="shared" si="86"/>
        <v>11</v>
      </c>
      <c r="H953">
        <v>2016</v>
      </c>
      <c r="I953" t="str">
        <f t="shared" si="87"/>
        <v>201611</v>
      </c>
      <c r="J953" t="str">
        <f t="shared" si="89"/>
        <v>https://www.euro-millions.com/results/04-11-2016</v>
      </c>
      <c r="K953" t="str">
        <f t="shared" si="88"/>
        <v>http://lottery.merseyworld.com/Euro/archive/Lott952.html</v>
      </c>
    </row>
    <row r="954" spans="1:11" x14ac:dyDescent="0.25">
      <c r="A954">
        <v>953</v>
      </c>
      <c r="B954" s="2" t="str">
        <f t="shared" si="84"/>
        <v>08-11-2016</v>
      </c>
      <c r="C954" t="s">
        <v>16</v>
      </c>
      <c r="D954">
        <v>8</v>
      </c>
      <c r="E954" t="str">
        <f t="shared" si="85"/>
        <v>08</v>
      </c>
      <c r="F954">
        <v>11</v>
      </c>
      <c r="G954" t="str">
        <f t="shared" si="86"/>
        <v>11</v>
      </c>
      <c r="H954">
        <v>2016</v>
      </c>
      <c r="I954" t="str">
        <f t="shared" si="87"/>
        <v>201611</v>
      </c>
      <c r="J954" t="str">
        <f t="shared" si="89"/>
        <v>https://www.euro-millions.com/results/08-11-2016</v>
      </c>
      <c r="K954" t="str">
        <f t="shared" si="88"/>
        <v>http://lottery.merseyworld.com/Euro/archive/Lott953.html</v>
      </c>
    </row>
    <row r="955" spans="1:11" x14ac:dyDescent="0.25">
      <c r="A955">
        <v>954</v>
      </c>
      <c r="B955" s="2" t="str">
        <f t="shared" si="84"/>
        <v>11-11-2016</v>
      </c>
      <c r="C955" t="s">
        <v>10</v>
      </c>
      <c r="D955">
        <v>11</v>
      </c>
      <c r="E955" t="str">
        <f t="shared" si="85"/>
        <v>11</v>
      </c>
      <c r="F955">
        <v>11</v>
      </c>
      <c r="G955" t="str">
        <f t="shared" si="86"/>
        <v>11</v>
      </c>
      <c r="H955">
        <v>2016</v>
      </c>
      <c r="I955" t="str">
        <f t="shared" si="87"/>
        <v>201611</v>
      </c>
      <c r="J955" t="str">
        <f t="shared" si="89"/>
        <v>https://www.euro-millions.com/results/11-11-2016</v>
      </c>
      <c r="K955" t="str">
        <f t="shared" si="88"/>
        <v>http://lottery.merseyworld.com/Euro/archive/Lott954.html</v>
      </c>
    </row>
    <row r="956" spans="1:11" x14ac:dyDescent="0.25">
      <c r="A956">
        <v>955</v>
      </c>
      <c r="B956" s="2" t="str">
        <f t="shared" si="84"/>
        <v>15-11-2016</v>
      </c>
      <c r="C956" t="s">
        <v>16</v>
      </c>
      <c r="D956">
        <v>15</v>
      </c>
      <c r="E956" t="str">
        <f t="shared" si="85"/>
        <v>15</v>
      </c>
      <c r="F956">
        <v>11</v>
      </c>
      <c r="G956" t="str">
        <f t="shared" si="86"/>
        <v>11</v>
      </c>
      <c r="H956">
        <v>2016</v>
      </c>
      <c r="I956" t="str">
        <f t="shared" si="87"/>
        <v>201611</v>
      </c>
      <c r="J956" t="str">
        <f t="shared" si="89"/>
        <v>https://www.euro-millions.com/results/15-11-2016</v>
      </c>
      <c r="K956" t="str">
        <f t="shared" si="88"/>
        <v>http://lottery.merseyworld.com/Euro/archive/Lott955.html</v>
      </c>
    </row>
    <row r="957" spans="1:11" x14ac:dyDescent="0.25">
      <c r="A957">
        <v>956</v>
      </c>
      <c r="B957" s="2" t="str">
        <f t="shared" si="84"/>
        <v>18-11-2016</v>
      </c>
      <c r="C957" t="s">
        <v>10</v>
      </c>
      <c r="D957">
        <v>18</v>
      </c>
      <c r="E957" t="str">
        <f t="shared" si="85"/>
        <v>18</v>
      </c>
      <c r="F957">
        <v>11</v>
      </c>
      <c r="G957" t="str">
        <f t="shared" si="86"/>
        <v>11</v>
      </c>
      <c r="H957">
        <v>2016</v>
      </c>
      <c r="I957" t="str">
        <f t="shared" si="87"/>
        <v>201611</v>
      </c>
      <c r="J957" t="str">
        <f t="shared" si="89"/>
        <v>https://www.euro-millions.com/results/18-11-2016</v>
      </c>
      <c r="K957" t="str">
        <f t="shared" si="88"/>
        <v>http://lottery.merseyworld.com/Euro/archive/Lott956.html</v>
      </c>
    </row>
    <row r="958" spans="1:11" x14ac:dyDescent="0.25">
      <c r="A958">
        <v>957</v>
      </c>
      <c r="B958" s="2" t="str">
        <f t="shared" si="84"/>
        <v>22-11-2016</v>
      </c>
      <c r="C958" t="s">
        <v>16</v>
      </c>
      <c r="D958">
        <v>22</v>
      </c>
      <c r="E958" t="str">
        <f t="shared" si="85"/>
        <v>22</v>
      </c>
      <c r="F958">
        <v>11</v>
      </c>
      <c r="G958" t="str">
        <f t="shared" si="86"/>
        <v>11</v>
      </c>
      <c r="H958">
        <v>2016</v>
      </c>
      <c r="I958" t="str">
        <f t="shared" si="87"/>
        <v>201611</v>
      </c>
      <c r="J958" t="str">
        <f t="shared" si="89"/>
        <v>https://www.euro-millions.com/results/22-11-2016</v>
      </c>
      <c r="K958" t="str">
        <f t="shared" si="88"/>
        <v>http://lottery.merseyworld.com/Euro/archive/Lott957.html</v>
      </c>
    </row>
    <row r="959" spans="1:11" x14ac:dyDescent="0.25">
      <c r="A959">
        <v>958</v>
      </c>
      <c r="B959" s="2" t="str">
        <f t="shared" si="84"/>
        <v>25-11-2016</v>
      </c>
      <c r="C959" t="s">
        <v>10</v>
      </c>
      <c r="D959">
        <v>25</v>
      </c>
      <c r="E959" t="str">
        <f t="shared" si="85"/>
        <v>25</v>
      </c>
      <c r="F959">
        <v>11</v>
      </c>
      <c r="G959" t="str">
        <f t="shared" si="86"/>
        <v>11</v>
      </c>
      <c r="H959">
        <v>2016</v>
      </c>
      <c r="I959" t="str">
        <f t="shared" si="87"/>
        <v>201611</v>
      </c>
      <c r="J959" t="str">
        <f t="shared" si="89"/>
        <v>https://www.euro-millions.com/results/25-11-2016</v>
      </c>
      <c r="K959" t="str">
        <f t="shared" si="88"/>
        <v>http://lottery.merseyworld.com/Euro/archive/Lott958.html</v>
      </c>
    </row>
    <row r="960" spans="1:11" x14ac:dyDescent="0.25">
      <c r="A960">
        <v>959</v>
      </c>
      <c r="B960" s="2" t="str">
        <f t="shared" si="84"/>
        <v>29-11-2016</v>
      </c>
      <c r="C960" t="s">
        <v>16</v>
      </c>
      <c r="D960">
        <v>29</v>
      </c>
      <c r="E960" t="str">
        <f t="shared" si="85"/>
        <v>29</v>
      </c>
      <c r="F960">
        <v>11</v>
      </c>
      <c r="G960" t="str">
        <f t="shared" si="86"/>
        <v>11</v>
      </c>
      <c r="H960">
        <v>2016</v>
      </c>
      <c r="I960" t="str">
        <f t="shared" si="87"/>
        <v>201611</v>
      </c>
      <c r="J960" t="str">
        <f t="shared" si="89"/>
        <v>https://www.euro-millions.com/results/29-11-2016</v>
      </c>
      <c r="K960" t="str">
        <f t="shared" si="88"/>
        <v>http://lottery.merseyworld.com/Euro/archive/Lott959.html</v>
      </c>
    </row>
    <row r="961" spans="1:11" x14ac:dyDescent="0.25">
      <c r="A961">
        <v>960</v>
      </c>
      <c r="B961" s="2" t="str">
        <f t="shared" si="84"/>
        <v>02-12-2016</v>
      </c>
      <c r="C961" t="s">
        <v>10</v>
      </c>
      <c r="D961">
        <v>2</v>
      </c>
      <c r="E961" t="str">
        <f t="shared" si="85"/>
        <v>02</v>
      </c>
      <c r="F961">
        <v>12</v>
      </c>
      <c r="G961" t="str">
        <f t="shared" si="86"/>
        <v>12</v>
      </c>
      <c r="H961">
        <v>2016</v>
      </c>
      <c r="I961" t="str">
        <f t="shared" si="87"/>
        <v>201612</v>
      </c>
      <c r="J961" t="str">
        <f t="shared" si="89"/>
        <v>https://www.euro-millions.com/results/02-12-2016</v>
      </c>
      <c r="K961" t="str">
        <f t="shared" si="88"/>
        <v>http://lottery.merseyworld.com/Euro/archive/Lott960.html</v>
      </c>
    </row>
    <row r="962" spans="1:11" x14ac:dyDescent="0.25">
      <c r="A962">
        <v>961</v>
      </c>
      <c r="B962" s="2" t="str">
        <f t="shared" si="84"/>
        <v>06-12-2016</v>
      </c>
      <c r="C962" t="s">
        <v>16</v>
      </c>
      <c r="D962">
        <v>6</v>
      </c>
      <c r="E962" t="str">
        <f t="shared" si="85"/>
        <v>06</v>
      </c>
      <c r="F962">
        <v>12</v>
      </c>
      <c r="G962" t="str">
        <f t="shared" si="86"/>
        <v>12</v>
      </c>
      <c r="H962">
        <v>2016</v>
      </c>
      <c r="I962" t="str">
        <f t="shared" si="87"/>
        <v>201612</v>
      </c>
      <c r="J962" t="str">
        <f t="shared" si="89"/>
        <v>https://www.euro-millions.com/results/06-12-2016</v>
      </c>
      <c r="K962" t="str">
        <f t="shared" si="88"/>
        <v>http://lottery.merseyworld.com/Euro/archive/Lott961.html</v>
      </c>
    </row>
    <row r="963" spans="1:11" x14ac:dyDescent="0.25">
      <c r="A963">
        <v>962</v>
      </c>
      <c r="B963" s="2" t="str">
        <f t="shared" ref="B963:B1026" si="90">CONCATENATE(E963,"-",G963,"-",H963)</f>
        <v>09-12-2016</v>
      </c>
      <c r="C963" t="s">
        <v>10</v>
      </c>
      <c r="D963">
        <v>9</v>
      </c>
      <c r="E963" t="str">
        <f t="shared" ref="E963:E1026" si="91">CONCATENATE(IF(LEN(D963)=1,CONCATENATE("0",D963),D963))</f>
        <v>09</v>
      </c>
      <c r="F963">
        <v>12</v>
      </c>
      <c r="G963" t="str">
        <f t="shared" ref="G963:G1026" si="92">CONCATENATE(IF(LEN(F963)=1,CONCATENATE("0",F963),F963))</f>
        <v>12</v>
      </c>
      <c r="H963">
        <v>2016</v>
      </c>
      <c r="I963" t="str">
        <f t="shared" ref="I963:I1026" si="93">CONCATENATE(H963,IF(LEN(F963)=1,CONCATENATE("0",F963),F963))</f>
        <v>201612</v>
      </c>
      <c r="J963" t="str">
        <f t="shared" si="89"/>
        <v>https://www.euro-millions.com/results/09-12-2016</v>
      </c>
      <c r="K963" t="str">
        <f t="shared" ref="K963:K1026" si="94">CONCATENATE("http://lottery.merseyworld.com/Euro/archive/Lott",RIGHT(CONCATENATE("00",A963),3),".html")</f>
        <v>http://lottery.merseyworld.com/Euro/archive/Lott962.html</v>
      </c>
    </row>
    <row r="964" spans="1:11" x14ac:dyDescent="0.25">
      <c r="A964">
        <v>963</v>
      </c>
      <c r="B964" s="2" t="str">
        <f t="shared" si="90"/>
        <v>13-12-2016</v>
      </c>
      <c r="C964" t="s">
        <v>16</v>
      </c>
      <c r="D964">
        <v>13</v>
      </c>
      <c r="E964" t="str">
        <f t="shared" si="91"/>
        <v>13</v>
      </c>
      <c r="F964">
        <v>12</v>
      </c>
      <c r="G964" t="str">
        <f t="shared" si="92"/>
        <v>12</v>
      </c>
      <c r="H964">
        <v>2016</v>
      </c>
      <c r="I964" t="str">
        <f t="shared" si="93"/>
        <v>201612</v>
      </c>
      <c r="J964" t="str">
        <f t="shared" si="89"/>
        <v>https://www.euro-millions.com/results/13-12-2016</v>
      </c>
      <c r="K964" t="str">
        <f t="shared" si="94"/>
        <v>http://lottery.merseyworld.com/Euro/archive/Lott963.html</v>
      </c>
    </row>
    <row r="965" spans="1:11" x14ac:dyDescent="0.25">
      <c r="A965">
        <v>964</v>
      </c>
      <c r="B965" s="2" t="str">
        <f t="shared" si="90"/>
        <v>16-12-2016</v>
      </c>
      <c r="C965" t="s">
        <v>10</v>
      </c>
      <c r="D965">
        <v>16</v>
      </c>
      <c r="E965" t="str">
        <f t="shared" si="91"/>
        <v>16</v>
      </c>
      <c r="F965">
        <v>12</v>
      </c>
      <c r="G965" t="str">
        <f t="shared" si="92"/>
        <v>12</v>
      </c>
      <c r="H965">
        <v>2016</v>
      </c>
      <c r="I965" t="str">
        <f t="shared" si="93"/>
        <v>201612</v>
      </c>
      <c r="J965" t="str">
        <f t="shared" si="89"/>
        <v>https://www.euro-millions.com/results/16-12-2016</v>
      </c>
      <c r="K965" t="str">
        <f t="shared" si="94"/>
        <v>http://lottery.merseyworld.com/Euro/archive/Lott964.html</v>
      </c>
    </row>
    <row r="966" spans="1:11" x14ac:dyDescent="0.25">
      <c r="A966">
        <v>965</v>
      </c>
      <c r="B966" s="2" t="str">
        <f t="shared" si="90"/>
        <v>20-12-2016</v>
      </c>
      <c r="C966" t="s">
        <v>16</v>
      </c>
      <c r="D966">
        <v>20</v>
      </c>
      <c r="E966" t="str">
        <f t="shared" si="91"/>
        <v>20</v>
      </c>
      <c r="F966">
        <v>12</v>
      </c>
      <c r="G966" t="str">
        <f t="shared" si="92"/>
        <v>12</v>
      </c>
      <c r="H966">
        <v>2016</v>
      </c>
      <c r="I966" t="str">
        <f t="shared" si="93"/>
        <v>201612</v>
      </c>
      <c r="J966" t="str">
        <f t="shared" si="89"/>
        <v>https://www.euro-millions.com/results/20-12-2016</v>
      </c>
      <c r="K966" t="str">
        <f t="shared" si="94"/>
        <v>http://lottery.merseyworld.com/Euro/archive/Lott965.html</v>
      </c>
    </row>
    <row r="967" spans="1:11" x14ac:dyDescent="0.25">
      <c r="A967">
        <v>966</v>
      </c>
      <c r="B967" s="2" t="str">
        <f t="shared" si="90"/>
        <v>23-12-2016</v>
      </c>
      <c r="C967" t="s">
        <v>10</v>
      </c>
      <c r="D967">
        <v>23</v>
      </c>
      <c r="E967" t="str">
        <f t="shared" si="91"/>
        <v>23</v>
      </c>
      <c r="F967">
        <v>12</v>
      </c>
      <c r="G967" t="str">
        <f t="shared" si="92"/>
        <v>12</v>
      </c>
      <c r="H967">
        <v>2016</v>
      </c>
      <c r="I967" t="str">
        <f t="shared" si="93"/>
        <v>201612</v>
      </c>
      <c r="J967" t="str">
        <f t="shared" si="89"/>
        <v>https://www.euro-millions.com/results/23-12-2016</v>
      </c>
      <c r="K967" t="str">
        <f t="shared" si="94"/>
        <v>http://lottery.merseyworld.com/Euro/archive/Lott966.html</v>
      </c>
    </row>
    <row r="968" spans="1:11" x14ac:dyDescent="0.25">
      <c r="A968">
        <v>967</v>
      </c>
      <c r="B968" s="2" t="str">
        <f t="shared" si="90"/>
        <v>27-12-2016</v>
      </c>
      <c r="C968" t="s">
        <v>16</v>
      </c>
      <c r="D968">
        <v>27</v>
      </c>
      <c r="E968" t="str">
        <f t="shared" si="91"/>
        <v>27</v>
      </c>
      <c r="F968">
        <v>12</v>
      </c>
      <c r="G968" t="str">
        <f t="shared" si="92"/>
        <v>12</v>
      </c>
      <c r="H968">
        <v>2016</v>
      </c>
      <c r="I968" t="str">
        <f t="shared" si="93"/>
        <v>201612</v>
      </c>
      <c r="J968" t="str">
        <f t="shared" ref="J968:J1031" si="95">CONCATENATE("https://www.euro-millions.com/results/",E968,"-",G968,"-",H968)</f>
        <v>https://www.euro-millions.com/results/27-12-2016</v>
      </c>
      <c r="K968" t="str">
        <f t="shared" si="94"/>
        <v>http://lottery.merseyworld.com/Euro/archive/Lott967.html</v>
      </c>
    </row>
    <row r="969" spans="1:11" x14ac:dyDescent="0.25">
      <c r="A969">
        <v>968</v>
      </c>
      <c r="B969" s="2" t="str">
        <f t="shared" si="90"/>
        <v>30-12-2016</v>
      </c>
      <c r="C969" t="s">
        <v>10</v>
      </c>
      <c r="D969">
        <v>30</v>
      </c>
      <c r="E969" t="str">
        <f t="shared" si="91"/>
        <v>30</v>
      </c>
      <c r="F969">
        <v>12</v>
      </c>
      <c r="G969" t="str">
        <f t="shared" si="92"/>
        <v>12</v>
      </c>
      <c r="H969">
        <v>2016</v>
      </c>
      <c r="I969" t="str">
        <f t="shared" si="93"/>
        <v>201612</v>
      </c>
      <c r="J969" t="str">
        <f t="shared" si="95"/>
        <v>https://www.euro-millions.com/results/30-12-2016</v>
      </c>
      <c r="K969" t="str">
        <f t="shared" si="94"/>
        <v>http://lottery.merseyworld.com/Euro/archive/Lott968.html</v>
      </c>
    </row>
    <row r="970" spans="1:11" x14ac:dyDescent="0.25">
      <c r="A970">
        <v>969</v>
      </c>
      <c r="B970" s="2" t="str">
        <f t="shared" si="90"/>
        <v>03-01-2017</v>
      </c>
      <c r="C970" t="s">
        <v>16</v>
      </c>
      <c r="D970">
        <v>3</v>
      </c>
      <c r="E970" t="str">
        <f t="shared" si="91"/>
        <v>03</v>
      </c>
      <c r="F970">
        <v>1</v>
      </c>
      <c r="G970" t="str">
        <f t="shared" si="92"/>
        <v>01</v>
      </c>
      <c r="H970">
        <v>2017</v>
      </c>
      <c r="I970" t="str">
        <f t="shared" si="93"/>
        <v>201701</v>
      </c>
      <c r="J970" t="str">
        <f t="shared" si="95"/>
        <v>https://www.euro-millions.com/results/03-01-2017</v>
      </c>
      <c r="K970" t="str">
        <f t="shared" si="94"/>
        <v>http://lottery.merseyworld.com/Euro/archive/Lott969.html</v>
      </c>
    </row>
    <row r="971" spans="1:11" x14ac:dyDescent="0.25">
      <c r="A971">
        <v>970</v>
      </c>
      <c r="B971" s="2" t="str">
        <f t="shared" si="90"/>
        <v>06-01-2017</v>
      </c>
      <c r="C971" t="s">
        <v>10</v>
      </c>
      <c r="D971">
        <v>6</v>
      </c>
      <c r="E971" t="str">
        <f t="shared" si="91"/>
        <v>06</v>
      </c>
      <c r="F971">
        <v>1</v>
      </c>
      <c r="G971" t="str">
        <f t="shared" si="92"/>
        <v>01</v>
      </c>
      <c r="H971">
        <v>2017</v>
      </c>
      <c r="I971" t="str">
        <f t="shared" si="93"/>
        <v>201701</v>
      </c>
      <c r="J971" t="str">
        <f t="shared" si="95"/>
        <v>https://www.euro-millions.com/results/06-01-2017</v>
      </c>
      <c r="K971" t="str">
        <f t="shared" si="94"/>
        <v>http://lottery.merseyworld.com/Euro/archive/Lott970.html</v>
      </c>
    </row>
    <row r="972" spans="1:11" x14ac:dyDescent="0.25">
      <c r="A972">
        <v>971</v>
      </c>
      <c r="B972" s="2" t="str">
        <f t="shared" si="90"/>
        <v>10-01-2017</v>
      </c>
      <c r="C972" t="s">
        <v>16</v>
      </c>
      <c r="D972">
        <v>10</v>
      </c>
      <c r="E972" t="str">
        <f t="shared" si="91"/>
        <v>10</v>
      </c>
      <c r="F972">
        <v>1</v>
      </c>
      <c r="G972" t="str">
        <f t="shared" si="92"/>
        <v>01</v>
      </c>
      <c r="H972">
        <v>2017</v>
      </c>
      <c r="I972" t="str">
        <f t="shared" si="93"/>
        <v>201701</v>
      </c>
      <c r="J972" t="str">
        <f t="shared" si="95"/>
        <v>https://www.euro-millions.com/results/10-01-2017</v>
      </c>
      <c r="K972" t="str">
        <f t="shared" si="94"/>
        <v>http://lottery.merseyworld.com/Euro/archive/Lott971.html</v>
      </c>
    </row>
    <row r="973" spans="1:11" x14ac:dyDescent="0.25">
      <c r="A973">
        <v>972</v>
      </c>
      <c r="B973" s="2" t="str">
        <f t="shared" si="90"/>
        <v>13-01-2017</v>
      </c>
      <c r="C973" t="s">
        <v>10</v>
      </c>
      <c r="D973">
        <v>13</v>
      </c>
      <c r="E973" t="str">
        <f t="shared" si="91"/>
        <v>13</v>
      </c>
      <c r="F973">
        <v>1</v>
      </c>
      <c r="G973" t="str">
        <f t="shared" si="92"/>
        <v>01</v>
      </c>
      <c r="H973">
        <v>2017</v>
      </c>
      <c r="I973" t="str">
        <f t="shared" si="93"/>
        <v>201701</v>
      </c>
      <c r="J973" t="str">
        <f t="shared" si="95"/>
        <v>https://www.euro-millions.com/results/13-01-2017</v>
      </c>
      <c r="K973" t="str">
        <f t="shared" si="94"/>
        <v>http://lottery.merseyworld.com/Euro/archive/Lott972.html</v>
      </c>
    </row>
    <row r="974" spans="1:11" x14ac:dyDescent="0.25">
      <c r="A974">
        <v>973</v>
      </c>
      <c r="B974" s="2" t="str">
        <f t="shared" si="90"/>
        <v>17-01-2017</v>
      </c>
      <c r="C974" t="s">
        <v>16</v>
      </c>
      <c r="D974">
        <v>17</v>
      </c>
      <c r="E974" t="str">
        <f t="shared" si="91"/>
        <v>17</v>
      </c>
      <c r="F974">
        <v>1</v>
      </c>
      <c r="G974" t="str">
        <f t="shared" si="92"/>
        <v>01</v>
      </c>
      <c r="H974">
        <v>2017</v>
      </c>
      <c r="I974" t="str">
        <f t="shared" si="93"/>
        <v>201701</v>
      </c>
      <c r="J974" t="str">
        <f t="shared" si="95"/>
        <v>https://www.euro-millions.com/results/17-01-2017</v>
      </c>
      <c r="K974" t="str">
        <f t="shared" si="94"/>
        <v>http://lottery.merseyworld.com/Euro/archive/Lott973.html</v>
      </c>
    </row>
    <row r="975" spans="1:11" x14ac:dyDescent="0.25">
      <c r="A975">
        <v>974</v>
      </c>
      <c r="B975" s="2" t="str">
        <f t="shared" si="90"/>
        <v>20-01-2017</v>
      </c>
      <c r="C975" t="s">
        <v>10</v>
      </c>
      <c r="D975">
        <v>20</v>
      </c>
      <c r="E975" t="str">
        <f t="shared" si="91"/>
        <v>20</v>
      </c>
      <c r="F975">
        <v>1</v>
      </c>
      <c r="G975" t="str">
        <f t="shared" si="92"/>
        <v>01</v>
      </c>
      <c r="H975">
        <v>2017</v>
      </c>
      <c r="I975" t="str">
        <f t="shared" si="93"/>
        <v>201701</v>
      </c>
      <c r="J975" t="str">
        <f t="shared" si="95"/>
        <v>https://www.euro-millions.com/results/20-01-2017</v>
      </c>
      <c r="K975" t="str">
        <f t="shared" si="94"/>
        <v>http://lottery.merseyworld.com/Euro/archive/Lott974.html</v>
      </c>
    </row>
    <row r="976" spans="1:11" x14ac:dyDescent="0.25">
      <c r="A976">
        <v>975</v>
      </c>
      <c r="B976" s="2" t="str">
        <f t="shared" si="90"/>
        <v>24-01-2017</v>
      </c>
      <c r="C976" t="s">
        <v>16</v>
      </c>
      <c r="D976">
        <v>24</v>
      </c>
      <c r="E976" t="str">
        <f t="shared" si="91"/>
        <v>24</v>
      </c>
      <c r="F976">
        <v>1</v>
      </c>
      <c r="G976" t="str">
        <f t="shared" si="92"/>
        <v>01</v>
      </c>
      <c r="H976">
        <v>2017</v>
      </c>
      <c r="I976" t="str">
        <f t="shared" si="93"/>
        <v>201701</v>
      </c>
      <c r="J976" t="str">
        <f t="shared" si="95"/>
        <v>https://www.euro-millions.com/results/24-01-2017</v>
      </c>
      <c r="K976" t="str">
        <f t="shared" si="94"/>
        <v>http://lottery.merseyworld.com/Euro/archive/Lott975.html</v>
      </c>
    </row>
    <row r="977" spans="1:11" x14ac:dyDescent="0.25">
      <c r="A977">
        <v>976</v>
      </c>
      <c r="B977" s="2" t="str">
        <f t="shared" si="90"/>
        <v>27-01-2017</v>
      </c>
      <c r="C977" t="s">
        <v>10</v>
      </c>
      <c r="D977">
        <v>27</v>
      </c>
      <c r="E977" t="str">
        <f t="shared" si="91"/>
        <v>27</v>
      </c>
      <c r="F977">
        <v>1</v>
      </c>
      <c r="G977" t="str">
        <f t="shared" si="92"/>
        <v>01</v>
      </c>
      <c r="H977">
        <v>2017</v>
      </c>
      <c r="I977" t="str">
        <f t="shared" si="93"/>
        <v>201701</v>
      </c>
      <c r="J977" t="str">
        <f t="shared" si="95"/>
        <v>https://www.euro-millions.com/results/27-01-2017</v>
      </c>
      <c r="K977" t="str">
        <f t="shared" si="94"/>
        <v>http://lottery.merseyworld.com/Euro/archive/Lott976.html</v>
      </c>
    </row>
    <row r="978" spans="1:11" x14ac:dyDescent="0.25">
      <c r="A978">
        <v>977</v>
      </c>
      <c r="B978" s="2" t="str">
        <f t="shared" si="90"/>
        <v>31-01-2017</v>
      </c>
      <c r="C978" t="s">
        <v>16</v>
      </c>
      <c r="D978">
        <v>31</v>
      </c>
      <c r="E978" t="str">
        <f t="shared" si="91"/>
        <v>31</v>
      </c>
      <c r="F978">
        <v>1</v>
      </c>
      <c r="G978" t="str">
        <f t="shared" si="92"/>
        <v>01</v>
      </c>
      <c r="H978">
        <v>2017</v>
      </c>
      <c r="I978" t="str">
        <f t="shared" si="93"/>
        <v>201701</v>
      </c>
      <c r="J978" t="str">
        <f t="shared" si="95"/>
        <v>https://www.euro-millions.com/results/31-01-2017</v>
      </c>
      <c r="K978" t="str">
        <f t="shared" si="94"/>
        <v>http://lottery.merseyworld.com/Euro/archive/Lott977.html</v>
      </c>
    </row>
    <row r="979" spans="1:11" x14ac:dyDescent="0.25">
      <c r="A979">
        <v>978</v>
      </c>
      <c r="B979" s="2" t="str">
        <f t="shared" si="90"/>
        <v>03-02-2017</v>
      </c>
      <c r="C979" t="s">
        <v>10</v>
      </c>
      <c r="D979">
        <v>3</v>
      </c>
      <c r="E979" t="str">
        <f t="shared" si="91"/>
        <v>03</v>
      </c>
      <c r="F979">
        <v>2</v>
      </c>
      <c r="G979" t="str">
        <f t="shared" si="92"/>
        <v>02</v>
      </c>
      <c r="H979">
        <v>2017</v>
      </c>
      <c r="I979" t="str">
        <f t="shared" si="93"/>
        <v>201702</v>
      </c>
      <c r="J979" t="str">
        <f t="shared" si="95"/>
        <v>https://www.euro-millions.com/results/03-02-2017</v>
      </c>
      <c r="K979" t="str">
        <f t="shared" si="94"/>
        <v>http://lottery.merseyworld.com/Euro/archive/Lott978.html</v>
      </c>
    </row>
    <row r="980" spans="1:11" x14ac:dyDescent="0.25">
      <c r="A980">
        <v>979</v>
      </c>
      <c r="B980" s="2" t="str">
        <f t="shared" si="90"/>
        <v>07-02-2017</v>
      </c>
      <c r="C980" t="s">
        <v>16</v>
      </c>
      <c r="D980">
        <v>7</v>
      </c>
      <c r="E980" t="str">
        <f t="shared" si="91"/>
        <v>07</v>
      </c>
      <c r="F980">
        <v>2</v>
      </c>
      <c r="G980" t="str">
        <f t="shared" si="92"/>
        <v>02</v>
      </c>
      <c r="H980">
        <v>2017</v>
      </c>
      <c r="I980" t="str">
        <f t="shared" si="93"/>
        <v>201702</v>
      </c>
      <c r="J980" t="str">
        <f t="shared" si="95"/>
        <v>https://www.euro-millions.com/results/07-02-2017</v>
      </c>
      <c r="K980" t="str">
        <f t="shared" si="94"/>
        <v>http://lottery.merseyworld.com/Euro/archive/Lott979.html</v>
      </c>
    </row>
    <row r="981" spans="1:11" x14ac:dyDescent="0.25">
      <c r="A981">
        <v>980</v>
      </c>
      <c r="B981" s="2" t="str">
        <f t="shared" si="90"/>
        <v>10-02-2017</v>
      </c>
      <c r="C981" t="s">
        <v>10</v>
      </c>
      <c r="D981">
        <v>10</v>
      </c>
      <c r="E981" t="str">
        <f t="shared" si="91"/>
        <v>10</v>
      </c>
      <c r="F981">
        <v>2</v>
      </c>
      <c r="G981" t="str">
        <f t="shared" si="92"/>
        <v>02</v>
      </c>
      <c r="H981">
        <v>2017</v>
      </c>
      <c r="I981" t="str">
        <f t="shared" si="93"/>
        <v>201702</v>
      </c>
      <c r="J981" t="str">
        <f t="shared" si="95"/>
        <v>https://www.euro-millions.com/results/10-02-2017</v>
      </c>
      <c r="K981" t="str">
        <f t="shared" si="94"/>
        <v>http://lottery.merseyworld.com/Euro/archive/Lott980.html</v>
      </c>
    </row>
    <row r="982" spans="1:11" x14ac:dyDescent="0.25">
      <c r="A982">
        <v>981</v>
      </c>
      <c r="B982" s="2" t="str">
        <f t="shared" si="90"/>
        <v>14-02-2017</v>
      </c>
      <c r="C982" t="s">
        <v>16</v>
      </c>
      <c r="D982">
        <v>14</v>
      </c>
      <c r="E982" t="str">
        <f t="shared" si="91"/>
        <v>14</v>
      </c>
      <c r="F982">
        <v>2</v>
      </c>
      <c r="G982" t="str">
        <f t="shared" si="92"/>
        <v>02</v>
      </c>
      <c r="H982">
        <v>2017</v>
      </c>
      <c r="I982" t="str">
        <f t="shared" si="93"/>
        <v>201702</v>
      </c>
      <c r="J982" t="str">
        <f t="shared" si="95"/>
        <v>https://www.euro-millions.com/results/14-02-2017</v>
      </c>
      <c r="K982" t="str">
        <f t="shared" si="94"/>
        <v>http://lottery.merseyworld.com/Euro/archive/Lott981.html</v>
      </c>
    </row>
    <row r="983" spans="1:11" x14ac:dyDescent="0.25">
      <c r="A983">
        <v>982</v>
      </c>
      <c r="B983" s="2" t="str">
        <f t="shared" si="90"/>
        <v>17-02-2017</v>
      </c>
      <c r="C983" t="s">
        <v>10</v>
      </c>
      <c r="D983">
        <v>17</v>
      </c>
      <c r="E983" t="str">
        <f t="shared" si="91"/>
        <v>17</v>
      </c>
      <c r="F983">
        <v>2</v>
      </c>
      <c r="G983" t="str">
        <f t="shared" si="92"/>
        <v>02</v>
      </c>
      <c r="H983">
        <v>2017</v>
      </c>
      <c r="I983" t="str">
        <f t="shared" si="93"/>
        <v>201702</v>
      </c>
      <c r="J983" t="str">
        <f t="shared" si="95"/>
        <v>https://www.euro-millions.com/results/17-02-2017</v>
      </c>
      <c r="K983" t="str">
        <f t="shared" si="94"/>
        <v>http://lottery.merseyworld.com/Euro/archive/Lott982.html</v>
      </c>
    </row>
    <row r="984" spans="1:11" x14ac:dyDescent="0.25">
      <c r="A984">
        <v>983</v>
      </c>
      <c r="B984" s="2" t="str">
        <f t="shared" si="90"/>
        <v>21-02-2017</v>
      </c>
      <c r="C984" t="s">
        <v>16</v>
      </c>
      <c r="D984">
        <v>21</v>
      </c>
      <c r="E984" t="str">
        <f t="shared" si="91"/>
        <v>21</v>
      </c>
      <c r="F984">
        <v>2</v>
      </c>
      <c r="G984" t="str">
        <f t="shared" si="92"/>
        <v>02</v>
      </c>
      <c r="H984">
        <v>2017</v>
      </c>
      <c r="I984" t="str">
        <f t="shared" si="93"/>
        <v>201702</v>
      </c>
      <c r="J984" t="str">
        <f t="shared" si="95"/>
        <v>https://www.euro-millions.com/results/21-02-2017</v>
      </c>
      <c r="K984" t="str">
        <f t="shared" si="94"/>
        <v>http://lottery.merseyworld.com/Euro/archive/Lott983.html</v>
      </c>
    </row>
    <row r="985" spans="1:11" x14ac:dyDescent="0.25">
      <c r="A985">
        <v>984</v>
      </c>
      <c r="B985" s="2" t="str">
        <f t="shared" si="90"/>
        <v>24-02-2017</v>
      </c>
      <c r="C985" t="s">
        <v>10</v>
      </c>
      <c r="D985">
        <v>24</v>
      </c>
      <c r="E985" t="str">
        <f t="shared" si="91"/>
        <v>24</v>
      </c>
      <c r="F985">
        <v>2</v>
      </c>
      <c r="G985" t="str">
        <f t="shared" si="92"/>
        <v>02</v>
      </c>
      <c r="H985">
        <v>2017</v>
      </c>
      <c r="I985" t="str">
        <f t="shared" si="93"/>
        <v>201702</v>
      </c>
      <c r="J985" t="str">
        <f t="shared" si="95"/>
        <v>https://www.euro-millions.com/results/24-02-2017</v>
      </c>
      <c r="K985" t="str">
        <f t="shared" si="94"/>
        <v>http://lottery.merseyworld.com/Euro/archive/Lott984.html</v>
      </c>
    </row>
    <row r="986" spans="1:11" x14ac:dyDescent="0.25">
      <c r="A986">
        <v>985</v>
      </c>
      <c r="B986" s="2" t="str">
        <f t="shared" si="90"/>
        <v>28-02-2017</v>
      </c>
      <c r="C986" t="s">
        <v>16</v>
      </c>
      <c r="D986">
        <v>28</v>
      </c>
      <c r="E986" t="str">
        <f t="shared" si="91"/>
        <v>28</v>
      </c>
      <c r="F986">
        <v>2</v>
      </c>
      <c r="G986" t="str">
        <f t="shared" si="92"/>
        <v>02</v>
      </c>
      <c r="H986">
        <v>2017</v>
      </c>
      <c r="I986" t="str">
        <f t="shared" si="93"/>
        <v>201702</v>
      </c>
      <c r="J986" t="str">
        <f t="shared" si="95"/>
        <v>https://www.euro-millions.com/results/28-02-2017</v>
      </c>
      <c r="K986" t="str">
        <f t="shared" si="94"/>
        <v>http://lottery.merseyworld.com/Euro/archive/Lott985.html</v>
      </c>
    </row>
    <row r="987" spans="1:11" x14ac:dyDescent="0.25">
      <c r="A987">
        <v>986</v>
      </c>
      <c r="B987" s="2" t="str">
        <f t="shared" si="90"/>
        <v>03-03-2017</v>
      </c>
      <c r="C987" t="s">
        <v>10</v>
      </c>
      <c r="D987">
        <v>3</v>
      </c>
      <c r="E987" t="str">
        <f t="shared" si="91"/>
        <v>03</v>
      </c>
      <c r="F987">
        <v>3</v>
      </c>
      <c r="G987" t="str">
        <f t="shared" si="92"/>
        <v>03</v>
      </c>
      <c r="H987">
        <v>2017</v>
      </c>
      <c r="I987" t="str">
        <f t="shared" si="93"/>
        <v>201703</v>
      </c>
      <c r="J987" t="str">
        <f t="shared" si="95"/>
        <v>https://www.euro-millions.com/results/03-03-2017</v>
      </c>
      <c r="K987" t="str">
        <f t="shared" si="94"/>
        <v>http://lottery.merseyworld.com/Euro/archive/Lott986.html</v>
      </c>
    </row>
    <row r="988" spans="1:11" x14ac:dyDescent="0.25">
      <c r="A988">
        <v>987</v>
      </c>
      <c r="B988" s="2" t="str">
        <f t="shared" si="90"/>
        <v>07-03-2017</v>
      </c>
      <c r="C988" t="s">
        <v>16</v>
      </c>
      <c r="D988">
        <v>7</v>
      </c>
      <c r="E988" t="str">
        <f t="shared" si="91"/>
        <v>07</v>
      </c>
      <c r="F988">
        <v>3</v>
      </c>
      <c r="G988" t="str">
        <f t="shared" si="92"/>
        <v>03</v>
      </c>
      <c r="H988">
        <v>2017</v>
      </c>
      <c r="I988" t="str">
        <f t="shared" si="93"/>
        <v>201703</v>
      </c>
      <c r="J988" t="str">
        <f t="shared" si="95"/>
        <v>https://www.euro-millions.com/results/07-03-2017</v>
      </c>
      <c r="K988" t="str">
        <f t="shared" si="94"/>
        <v>http://lottery.merseyworld.com/Euro/archive/Lott987.html</v>
      </c>
    </row>
    <row r="989" spans="1:11" x14ac:dyDescent="0.25">
      <c r="A989">
        <v>988</v>
      </c>
      <c r="B989" s="2" t="str">
        <f t="shared" si="90"/>
        <v>10-03-2017</v>
      </c>
      <c r="C989" t="s">
        <v>10</v>
      </c>
      <c r="D989">
        <v>10</v>
      </c>
      <c r="E989" t="str">
        <f t="shared" si="91"/>
        <v>10</v>
      </c>
      <c r="F989">
        <v>3</v>
      </c>
      <c r="G989" t="str">
        <f t="shared" si="92"/>
        <v>03</v>
      </c>
      <c r="H989">
        <v>2017</v>
      </c>
      <c r="I989" t="str">
        <f t="shared" si="93"/>
        <v>201703</v>
      </c>
      <c r="J989" t="str">
        <f t="shared" si="95"/>
        <v>https://www.euro-millions.com/results/10-03-2017</v>
      </c>
      <c r="K989" t="str">
        <f t="shared" si="94"/>
        <v>http://lottery.merseyworld.com/Euro/archive/Lott988.html</v>
      </c>
    </row>
    <row r="990" spans="1:11" x14ac:dyDescent="0.25">
      <c r="A990">
        <v>989</v>
      </c>
      <c r="B990" s="2" t="str">
        <f t="shared" si="90"/>
        <v>14-03-2017</v>
      </c>
      <c r="C990" t="s">
        <v>16</v>
      </c>
      <c r="D990">
        <v>14</v>
      </c>
      <c r="E990" t="str">
        <f t="shared" si="91"/>
        <v>14</v>
      </c>
      <c r="F990">
        <v>3</v>
      </c>
      <c r="G990" t="str">
        <f t="shared" si="92"/>
        <v>03</v>
      </c>
      <c r="H990">
        <v>2017</v>
      </c>
      <c r="I990" t="str">
        <f t="shared" si="93"/>
        <v>201703</v>
      </c>
      <c r="J990" t="str">
        <f t="shared" si="95"/>
        <v>https://www.euro-millions.com/results/14-03-2017</v>
      </c>
      <c r="K990" t="str">
        <f t="shared" si="94"/>
        <v>http://lottery.merseyworld.com/Euro/archive/Lott989.html</v>
      </c>
    </row>
    <row r="991" spans="1:11" x14ac:dyDescent="0.25">
      <c r="A991">
        <v>990</v>
      </c>
      <c r="B991" s="2" t="str">
        <f t="shared" si="90"/>
        <v>17-03-2017</v>
      </c>
      <c r="C991" t="s">
        <v>10</v>
      </c>
      <c r="D991">
        <v>17</v>
      </c>
      <c r="E991" t="str">
        <f t="shared" si="91"/>
        <v>17</v>
      </c>
      <c r="F991">
        <v>3</v>
      </c>
      <c r="G991" t="str">
        <f t="shared" si="92"/>
        <v>03</v>
      </c>
      <c r="H991">
        <v>2017</v>
      </c>
      <c r="I991" t="str">
        <f t="shared" si="93"/>
        <v>201703</v>
      </c>
      <c r="J991" t="str">
        <f t="shared" si="95"/>
        <v>https://www.euro-millions.com/results/17-03-2017</v>
      </c>
      <c r="K991" t="str">
        <f t="shared" si="94"/>
        <v>http://lottery.merseyworld.com/Euro/archive/Lott990.html</v>
      </c>
    </row>
    <row r="992" spans="1:11" x14ac:dyDescent="0.25">
      <c r="A992">
        <v>991</v>
      </c>
      <c r="B992" s="2" t="str">
        <f t="shared" si="90"/>
        <v>21-03-2017</v>
      </c>
      <c r="C992" t="s">
        <v>16</v>
      </c>
      <c r="D992">
        <v>21</v>
      </c>
      <c r="E992" t="str">
        <f t="shared" si="91"/>
        <v>21</v>
      </c>
      <c r="F992">
        <v>3</v>
      </c>
      <c r="G992" t="str">
        <f t="shared" si="92"/>
        <v>03</v>
      </c>
      <c r="H992">
        <v>2017</v>
      </c>
      <c r="I992" t="str">
        <f t="shared" si="93"/>
        <v>201703</v>
      </c>
      <c r="J992" t="str">
        <f t="shared" si="95"/>
        <v>https://www.euro-millions.com/results/21-03-2017</v>
      </c>
      <c r="K992" t="str">
        <f t="shared" si="94"/>
        <v>http://lottery.merseyworld.com/Euro/archive/Lott991.html</v>
      </c>
    </row>
    <row r="993" spans="1:11" x14ac:dyDescent="0.25">
      <c r="A993">
        <v>992</v>
      </c>
      <c r="B993" s="2" t="str">
        <f t="shared" si="90"/>
        <v>24-03-2017</v>
      </c>
      <c r="C993" t="s">
        <v>10</v>
      </c>
      <c r="D993">
        <v>24</v>
      </c>
      <c r="E993" t="str">
        <f t="shared" si="91"/>
        <v>24</v>
      </c>
      <c r="F993">
        <v>3</v>
      </c>
      <c r="G993" t="str">
        <f t="shared" si="92"/>
        <v>03</v>
      </c>
      <c r="H993">
        <v>2017</v>
      </c>
      <c r="I993" t="str">
        <f t="shared" si="93"/>
        <v>201703</v>
      </c>
      <c r="J993" t="str">
        <f t="shared" si="95"/>
        <v>https://www.euro-millions.com/results/24-03-2017</v>
      </c>
      <c r="K993" t="str">
        <f t="shared" si="94"/>
        <v>http://lottery.merseyworld.com/Euro/archive/Lott992.html</v>
      </c>
    </row>
    <row r="994" spans="1:11" x14ac:dyDescent="0.25">
      <c r="A994">
        <v>993</v>
      </c>
      <c r="B994" s="2" t="str">
        <f t="shared" si="90"/>
        <v>28-03-2017</v>
      </c>
      <c r="C994" t="s">
        <v>16</v>
      </c>
      <c r="D994">
        <v>28</v>
      </c>
      <c r="E994" t="str">
        <f t="shared" si="91"/>
        <v>28</v>
      </c>
      <c r="F994">
        <v>3</v>
      </c>
      <c r="G994" t="str">
        <f t="shared" si="92"/>
        <v>03</v>
      </c>
      <c r="H994">
        <v>2017</v>
      </c>
      <c r="I994" t="str">
        <f t="shared" si="93"/>
        <v>201703</v>
      </c>
      <c r="J994" t="str">
        <f t="shared" si="95"/>
        <v>https://www.euro-millions.com/results/28-03-2017</v>
      </c>
      <c r="K994" t="str">
        <f t="shared" si="94"/>
        <v>http://lottery.merseyworld.com/Euro/archive/Lott993.html</v>
      </c>
    </row>
    <row r="995" spans="1:11" x14ac:dyDescent="0.25">
      <c r="A995">
        <v>994</v>
      </c>
      <c r="B995" s="2" t="str">
        <f t="shared" si="90"/>
        <v>31-03-2017</v>
      </c>
      <c r="C995" t="s">
        <v>10</v>
      </c>
      <c r="D995">
        <v>31</v>
      </c>
      <c r="E995" t="str">
        <f t="shared" si="91"/>
        <v>31</v>
      </c>
      <c r="F995">
        <v>3</v>
      </c>
      <c r="G995" t="str">
        <f t="shared" si="92"/>
        <v>03</v>
      </c>
      <c r="H995">
        <v>2017</v>
      </c>
      <c r="I995" t="str">
        <f t="shared" si="93"/>
        <v>201703</v>
      </c>
      <c r="J995" t="str">
        <f t="shared" si="95"/>
        <v>https://www.euro-millions.com/results/31-03-2017</v>
      </c>
      <c r="K995" t="str">
        <f t="shared" si="94"/>
        <v>http://lottery.merseyworld.com/Euro/archive/Lott994.html</v>
      </c>
    </row>
    <row r="996" spans="1:11" x14ac:dyDescent="0.25">
      <c r="A996">
        <v>995</v>
      </c>
      <c r="B996" s="2" t="str">
        <f t="shared" si="90"/>
        <v>04-04-2017</v>
      </c>
      <c r="C996" t="s">
        <v>16</v>
      </c>
      <c r="D996">
        <v>4</v>
      </c>
      <c r="E996" t="str">
        <f t="shared" si="91"/>
        <v>04</v>
      </c>
      <c r="F996">
        <v>4</v>
      </c>
      <c r="G996" t="str">
        <f t="shared" si="92"/>
        <v>04</v>
      </c>
      <c r="H996">
        <v>2017</v>
      </c>
      <c r="I996" t="str">
        <f t="shared" si="93"/>
        <v>201704</v>
      </c>
      <c r="J996" t="str">
        <f t="shared" si="95"/>
        <v>https://www.euro-millions.com/results/04-04-2017</v>
      </c>
      <c r="K996" t="str">
        <f t="shared" si="94"/>
        <v>http://lottery.merseyworld.com/Euro/archive/Lott995.html</v>
      </c>
    </row>
    <row r="997" spans="1:11" x14ac:dyDescent="0.25">
      <c r="A997">
        <v>996</v>
      </c>
      <c r="B997" s="2" t="str">
        <f t="shared" si="90"/>
        <v>07-04-2017</v>
      </c>
      <c r="C997" t="s">
        <v>10</v>
      </c>
      <c r="D997">
        <v>7</v>
      </c>
      <c r="E997" t="str">
        <f t="shared" si="91"/>
        <v>07</v>
      </c>
      <c r="F997">
        <v>4</v>
      </c>
      <c r="G997" t="str">
        <f t="shared" si="92"/>
        <v>04</v>
      </c>
      <c r="H997">
        <v>2017</v>
      </c>
      <c r="I997" t="str">
        <f t="shared" si="93"/>
        <v>201704</v>
      </c>
      <c r="J997" t="str">
        <f t="shared" si="95"/>
        <v>https://www.euro-millions.com/results/07-04-2017</v>
      </c>
      <c r="K997" t="str">
        <f t="shared" si="94"/>
        <v>http://lottery.merseyworld.com/Euro/archive/Lott996.html</v>
      </c>
    </row>
    <row r="998" spans="1:11" x14ac:dyDescent="0.25">
      <c r="A998">
        <v>997</v>
      </c>
      <c r="B998" s="2" t="str">
        <f t="shared" si="90"/>
        <v>11-04-2017</v>
      </c>
      <c r="C998" t="s">
        <v>16</v>
      </c>
      <c r="D998">
        <v>11</v>
      </c>
      <c r="E998" t="str">
        <f t="shared" si="91"/>
        <v>11</v>
      </c>
      <c r="F998">
        <v>4</v>
      </c>
      <c r="G998" t="str">
        <f t="shared" si="92"/>
        <v>04</v>
      </c>
      <c r="H998">
        <v>2017</v>
      </c>
      <c r="I998" t="str">
        <f t="shared" si="93"/>
        <v>201704</v>
      </c>
      <c r="J998" t="str">
        <f t="shared" si="95"/>
        <v>https://www.euro-millions.com/results/11-04-2017</v>
      </c>
      <c r="K998" t="str">
        <f t="shared" si="94"/>
        <v>http://lottery.merseyworld.com/Euro/archive/Lott997.html</v>
      </c>
    </row>
    <row r="999" spans="1:11" x14ac:dyDescent="0.25">
      <c r="A999">
        <v>998</v>
      </c>
      <c r="B999" s="2" t="str">
        <f t="shared" si="90"/>
        <v>14-04-2017</v>
      </c>
      <c r="C999" t="s">
        <v>10</v>
      </c>
      <c r="D999">
        <v>14</v>
      </c>
      <c r="E999" t="str">
        <f t="shared" si="91"/>
        <v>14</v>
      </c>
      <c r="F999">
        <v>4</v>
      </c>
      <c r="G999" t="str">
        <f t="shared" si="92"/>
        <v>04</v>
      </c>
      <c r="H999">
        <v>2017</v>
      </c>
      <c r="I999" t="str">
        <f t="shared" si="93"/>
        <v>201704</v>
      </c>
      <c r="J999" t="str">
        <f t="shared" si="95"/>
        <v>https://www.euro-millions.com/results/14-04-2017</v>
      </c>
      <c r="K999" t="str">
        <f t="shared" si="94"/>
        <v>http://lottery.merseyworld.com/Euro/archive/Lott998.html</v>
      </c>
    </row>
    <row r="1000" spans="1:11" x14ac:dyDescent="0.25">
      <c r="A1000">
        <v>999</v>
      </c>
      <c r="B1000" s="2" t="str">
        <f t="shared" si="90"/>
        <v>18-04-2017</v>
      </c>
      <c r="C1000" t="s">
        <v>16</v>
      </c>
      <c r="D1000">
        <v>18</v>
      </c>
      <c r="E1000" t="str">
        <f t="shared" si="91"/>
        <v>18</v>
      </c>
      <c r="F1000">
        <v>4</v>
      </c>
      <c r="G1000" t="str">
        <f t="shared" si="92"/>
        <v>04</v>
      </c>
      <c r="H1000">
        <v>2017</v>
      </c>
      <c r="I1000" t="str">
        <f t="shared" si="93"/>
        <v>201704</v>
      </c>
      <c r="J1000" t="str">
        <f t="shared" si="95"/>
        <v>https://www.euro-millions.com/results/18-04-2017</v>
      </c>
      <c r="K1000" t="str">
        <f t="shared" si="94"/>
        <v>http://lottery.merseyworld.com/Euro/archive/Lott999.html</v>
      </c>
    </row>
    <row r="1001" spans="1:11" x14ac:dyDescent="0.25">
      <c r="A1001">
        <v>1000</v>
      </c>
      <c r="B1001" s="2" t="str">
        <f t="shared" si="90"/>
        <v>21-04-2017</v>
      </c>
      <c r="C1001" t="s">
        <v>10</v>
      </c>
      <c r="D1001">
        <v>21</v>
      </c>
      <c r="E1001" t="str">
        <f t="shared" si="91"/>
        <v>21</v>
      </c>
      <c r="F1001">
        <v>4</v>
      </c>
      <c r="G1001" t="str">
        <f t="shared" si="92"/>
        <v>04</v>
      </c>
      <c r="H1001">
        <v>2017</v>
      </c>
      <c r="I1001" t="str">
        <f t="shared" si="93"/>
        <v>201704</v>
      </c>
      <c r="J1001" t="str">
        <f t="shared" si="95"/>
        <v>https://www.euro-millions.com/results/21-04-2017</v>
      </c>
      <c r="K1001" t="str">
        <f>CONCATENATE("http://lottery.merseyworld.com/Euro/archive/Lott",RIGHT(CONCATENATE("00",A1001),4),".html")</f>
        <v>http://lottery.merseyworld.com/Euro/archive/Lott1000.html</v>
      </c>
    </row>
    <row r="1002" spans="1:11" x14ac:dyDescent="0.25">
      <c r="A1002">
        <v>1001</v>
      </c>
      <c r="B1002" s="2" t="str">
        <f t="shared" si="90"/>
        <v>25-04-2017</v>
      </c>
      <c r="C1002" t="s">
        <v>16</v>
      </c>
      <c r="D1002">
        <v>25</v>
      </c>
      <c r="E1002" t="str">
        <f t="shared" si="91"/>
        <v>25</v>
      </c>
      <c r="F1002">
        <v>4</v>
      </c>
      <c r="G1002" t="str">
        <f t="shared" si="92"/>
        <v>04</v>
      </c>
      <c r="H1002">
        <v>2017</v>
      </c>
      <c r="I1002" t="str">
        <f t="shared" si="93"/>
        <v>201704</v>
      </c>
      <c r="J1002" t="str">
        <f t="shared" si="95"/>
        <v>https://www.euro-millions.com/results/25-04-2017</v>
      </c>
      <c r="K1002" t="str">
        <f>CONCATENATE("http://lottery.merseyworld.com/Euro/archive/Lott",RIGHT(CONCATENATE("00",A1002),4),".html")</f>
        <v>http://lottery.merseyworld.com/Euro/archive/Lott1001.html</v>
      </c>
    </row>
    <row r="1003" spans="1:11" x14ac:dyDescent="0.25">
      <c r="A1003">
        <v>1002</v>
      </c>
      <c r="B1003" s="2" t="str">
        <f t="shared" si="90"/>
        <v>28-04-2017</v>
      </c>
      <c r="C1003" t="s">
        <v>10</v>
      </c>
      <c r="D1003">
        <v>28</v>
      </c>
      <c r="E1003" t="str">
        <f t="shared" si="91"/>
        <v>28</v>
      </c>
      <c r="F1003">
        <v>4</v>
      </c>
      <c r="G1003" t="str">
        <f t="shared" si="92"/>
        <v>04</v>
      </c>
      <c r="H1003">
        <v>2017</v>
      </c>
      <c r="I1003" t="str">
        <f t="shared" si="93"/>
        <v>201704</v>
      </c>
      <c r="J1003" t="str">
        <f t="shared" si="95"/>
        <v>https://www.euro-millions.com/results/28-04-2017</v>
      </c>
      <c r="K1003" t="str">
        <f t="shared" ref="K1003:K1066" si="96">CONCATENATE("http://lottery.merseyworld.com/Euro/archive/Lott",RIGHT(CONCATENATE("00",A1003),4),".html")</f>
        <v>http://lottery.merseyworld.com/Euro/archive/Lott1002.html</v>
      </c>
    </row>
    <row r="1004" spans="1:11" x14ac:dyDescent="0.25">
      <c r="A1004">
        <v>1003</v>
      </c>
      <c r="B1004" s="2" t="str">
        <f t="shared" si="90"/>
        <v>02-05-2017</v>
      </c>
      <c r="C1004" t="s">
        <v>16</v>
      </c>
      <c r="D1004">
        <v>2</v>
      </c>
      <c r="E1004" t="str">
        <f t="shared" si="91"/>
        <v>02</v>
      </c>
      <c r="F1004">
        <v>5</v>
      </c>
      <c r="G1004" t="str">
        <f t="shared" si="92"/>
        <v>05</v>
      </c>
      <c r="H1004">
        <v>2017</v>
      </c>
      <c r="I1004" t="str">
        <f t="shared" si="93"/>
        <v>201705</v>
      </c>
      <c r="J1004" t="str">
        <f t="shared" si="95"/>
        <v>https://www.euro-millions.com/results/02-05-2017</v>
      </c>
      <c r="K1004" t="str">
        <f t="shared" si="96"/>
        <v>http://lottery.merseyworld.com/Euro/archive/Lott1003.html</v>
      </c>
    </row>
    <row r="1005" spans="1:11" x14ac:dyDescent="0.25">
      <c r="A1005">
        <v>1004</v>
      </c>
      <c r="B1005" s="2" t="str">
        <f t="shared" si="90"/>
        <v>05-05-2017</v>
      </c>
      <c r="C1005" t="s">
        <v>10</v>
      </c>
      <c r="D1005">
        <v>5</v>
      </c>
      <c r="E1005" t="str">
        <f t="shared" si="91"/>
        <v>05</v>
      </c>
      <c r="F1005">
        <v>5</v>
      </c>
      <c r="G1005" t="str">
        <f t="shared" si="92"/>
        <v>05</v>
      </c>
      <c r="H1005">
        <v>2017</v>
      </c>
      <c r="I1005" t="str">
        <f t="shared" si="93"/>
        <v>201705</v>
      </c>
      <c r="J1005" t="str">
        <f t="shared" si="95"/>
        <v>https://www.euro-millions.com/results/05-05-2017</v>
      </c>
      <c r="K1005" t="str">
        <f t="shared" si="96"/>
        <v>http://lottery.merseyworld.com/Euro/archive/Lott1004.html</v>
      </c>
    </row>
    <row r="1006" spans="1:11" x14ac:dyDescent="0.25">
      <c r="A1006">
        <v>1005</v>
      </c>
      <c r="B1006" s="2" t="str">
        <f t="shared" si="90"/>
        <v>09-05-2017</v>
      </c>
      <c r="C1006" t="s">
        <v>16</v>
      </c>
      <c r="D1006">
        <v>9</v>
      </c>
      <c r="E1006" t="str">
        <f t="shared" si="91"/>
        <v>09</v>
      </c>
      <c r="F1006">
        <v>5</v>
      </c>
      <c r="G1006" t="str">
        <f t="shared" si="92"/>
        <v>05</v>
      </c>
      <c r="H1006">
        <v>2017</v>
      </c>
      <c r="I1006" t="str">
        <f t="shared" si="93"/>
        <v>201705</v>
      </c>
      <c r="J1006" t="str">
        <f t="shared" si="95"/>
        <v>https://www.euro-millions.com/results/09-05-2017</v>
      </c>
      <c r="K1006" t="str">
        <f t="shared" si="96"/>
        <v>http://lottery.merseyworld.com/Euro/archive/Lott1005.html</v>
      </c>
    </row>
    <row r="1007" spans="1:11" x14ac:dyDescent="0.25">
      <c r="A1007">
        <v>1006</v>
      </c>
      <c r="B1007" s="2" t="str">
        <f t="shared" si="90"/>
        <v>12-05-2017</v>
      </c>
      <c r="C1007" t="s">
        <v>10</v>
      </c>
      <c r="D1007">
        <v>12</v>
      </c>
      <c r="E1007" t="str">
        <f t="shared" si="91"/>
        <v>12</v>
      </c>
      <c r="F1007">
        <v>5</v>
      </c>
      <c r="G1007" t="str">
        <f t="shared" si="92"/>
        <v>05</v>
      </c>
      <c r="H1007">
        <v>2017</v>
      </c>
      <c r="I1007" t="str">
        <f t="shared" si="93"/>
        <v>201705</v>
      </c>
      <c r="J1007" t="str">
        <f t="shared" si="95"/>
        <v>https://www.euro-millions.com/results/12-05-2017</v>
      </c>
      <c r="K1007" t="str">
        <f t="shared" si="96"/>
        <v>http://lottery.merseyworld.com/Euro/archive/Lott1006.html</v>
      </c>
    </row>
    <row r="1008" spans="1:11" x14ac:dyDescent="0.25">
      <c r="A1008">
        <v>1007</v>
      </c>
      <c r="B1008" s="2" t="str">
        <f t="shared" si="90"/>
        <v>16-05-2017</v>
      </c>
      <c r="C1008" t="s">
        <v>16</v>
      </c>
      <c r="D1008">
        <v>16</v>
      </c>
      <c r="E1008" t="str">
        <f t="shared" si="91"/>
        <v>16</v>
      </c>
      <c r="F1008">
        <v>5</v>
      </c>
      <c r="G1008" t="str">
        <f t="shared" si="92"/>
        <v>05</v>
      </c>
      <c r="H1008">
        <v>2017</v>
      </c>
      <c r="I1008" t="str">
        <f t="shared" si="93"/>
        <v>201705</v>
      </c>
      <c r="J1008" t="str">
        <f t="shared" si="95"/>
        <v>https://www.euro-millions.com/results/16-05-2017</v>
      </c>
      <c r="K1008" t="str">
        <f t="shared" si="96"/>
        <v>http://lottery.merseyworld.com/Euro/archive/Lott1007.html</v>
      </c>
    </row>
    <row r="1009" spans="1:11" x14ac:dyDescent="0.25">
      <c r="A1009">
        <v>1008</v>
      </c>
      <c r="B1009" s="2" t="str">
        <f t="shared" si="90"/>
        <v>19-05-2017</v>
      </c>
      <c r="C1009" t="s">
        <v>10</v>
      </c>
      <c r="D1009">
        <v>19</v>
      </c>
      <c r="E1009" t="str">
        <f t="shared" si="91"/>
        <v>19</v>
      </c>
      <c r="F1009">
        <v>5</v>
      </c>
      <c r="G1009" t="str">
        <f t="shared" si="92"/>
        <v>05</v>
      </c>
      <c r="H1009">
        <v>2017</v>
      </c>
      <c r="I1009" t="str">
        <f t="shared" si="93"/>
        <v>201705</v>
      </c>
      <c r="J1009" t="str">
        <f t="shared" si="95"/>
        <v>https://www.euro-millions.com/results/19-05-2017</v>
      </c>
      <c r="K1009" t="str">
        <f t="shared" si="96"/>
        <v>http://lottery.merseyworld.com/Euro/archive/Lott1008.html</v>
      </c>
    </row>
    <row r="1010" spans="1:11" x14ac:dyDescent="0.25">
      <c r="A1010">
        <v>1009</v>
      </c>
      <c r="B1010" s="2" t="str">
        <f t="shared" si="90"/>
        <v>23-05-2017</v>
      </c>
      <c r="C1010" t="s">
        <v>16</v>
      </c>
      <c r="D1010">
        <v>23</v>
      </c>
      <c r="E1010" t="str">
        <f t="shared" si="91"/>
        <v>23</v>
      </c>
      <c r="F1010">
        <v>5</v>
      </c>
      <c r="G1010" t="str">
        <f t="shared" si="92"/>
        <v>05</v>
      </c>
      <c r="H1010">
        <v>2017</v>
      </c>
      <c r="I1010" t="str">
        <f t="shared" si="93"/>
        <v>201705</v>
      </c>
      <c r="J1010" t="str">
        <f t="shared" si="95"/>
        <v>https://www.euro-millions.com/results/23-05-2017</v>
      </c>
      <c r="K1010" t="str">
        <f t="shared" si="96"/>
        <v>http://lottery.merseyworld.com/Euro/archive/Lott1009.html</v>
      </c>
    </row>
    <row r="1011" spans="1:11" x14ac:dyDescent="0.25">
      <c r="A1011">
        <v>1010</v>
      </c>
      <c r="B1011" s="2" t="str">
        <f t="shared" si="90"/>
        <v>26-05-2017</v>
      </c>
      <c r="C1011" t="s">
        <v>10</v>
      </c>
      <c r="D1011">
        <v>26</v>
      </c>
      <c r="E1011" t="str">
        <f t="shared" si="91"/>
        <v>26</v>
      </c>
      <c r="F1011">
        <v>5</v>
      </c>
      <c r="G1011" t="str">
        <f t="shared" si="92"/>
        <v>05</v>
      </c>
      <c r="H1011">
        <v>2017</v>
      </c>
      <c r="I1011" t="str">
        <f t="shared" si="93"/>
        <v>201705</v>
      </c>
      <c r="J1011" t="str">
        <f t="shared" si="95"/>
        <v>https://www.euro-millions.com/results/26-05-2017</v>
      </c>
      <c r="K1011" t="str">
        <f t="shared" si="96"/>
        <v>http://lottery.merseyworld.com/Euro/archive/Lott1010.html</v>
      </c>
    </row>
    <row r="1012" spans="1:11" x14ac:dyDescent="0.25">
      <c r="A1012">
        <v>1011</v>
      </c>
      <c r="B1012" s="2" t="str">
        <f t="shared" si="90"/>
        <v>30-05-2017</v>
      </c>
      <c r="C1012" t="s">
        <v>16</v>
      </c>
      <c r="D1012">
        <v>30</v>
      </c>
      <c r="E1012" t="str">
        <f t="shared" si="91"/>
        <v>30</v>
      </c>
      <c r="F1012">
        <v>5</v>
      </c>
      <c r="G1012" t="str">
        <f t="shared" si="92"/>
        <v>05</v>
      </c>
      <c r="H1012">
        <v>2017</v>
      </c>
      <c r="I1012" t="str">
        <f t="shared" si="93"/>
        <v>201705</v>
      </c>
      <c r="J1012" t="str">
        <f t="shared" si="95"/>
        <v>https://www.euro-millions.com/results/30-05-2017</v>
      </c>
      <c r="K1012" t="str">
        <f t="shared" si="96"/>
        <v>http://lottery.merseyworld.com/Euro/archive/Lott1011.html</v>
      </c>
    </row>
    <row r="1013" spans="1:11" x14ac:dyDescent="0.25">
      <c r="A1013">
        <v>1012</v>
      </c>
      <c r="B1013" s="2" t="str">
        <f t="shared" si="90"/>
        <v>02-06-2017</v>
      </c>
      <c r="C1013" t="s">
        <v>10</v>
      </c>
      <c r="D1013">
        <v>2</v>
      </c>
      <c r="E1013" t="str">
        <f t="shared" si="91"/>
        <v>02</v>
      </c>
      <c r="F1013">
        <v>6</v>
      </c>
      <c r="G1013" t="str">
        <f t="shared" si="92"/>
        <v>06</v>
      </c>
      <c r="H1013">
        <v>2017</v>
      </c>
      <c r="I1013" t="str">
        <f t="shared" si="93"/>
        <v>201706</v>
      </c>
      <c r="J1013" t="str">
        <f t="shared" si="95"/>
        <v>https://www.euro-millions.com/results/02-06-2017</v>
      </c>
      <c r="K1013" t="str">
        <f t="shared" si="96"/>
        <v>http://lottery.merseyworld.com/Euro/archive/Lott1012.html</v>
      </c>
    </row>
    <row r="1014" spans="1:11" x14ac:dyDescent="0.25">
      <c r="A1014">
        <v>1013</v>
      </c>
      <c r="B1014" s="2" t="str">
        <f t="shared" si="90"/>
        <v>06-06-2017</v>
      </c>
      <c r="C1014" t="s">
        <v>16</v>
      </c>
      <c r="D1014">
        <v>6</v>
      </c>
      <c r="E1014" t="str">
        <f t="shared" si="91"/>
        <v>06</v>
      </c>
      <c r="F1014">
        <v>6</v>
      </c>
      <c r="G1014" t="str">
        <f t="shared" si="92"/>
        <v>06</v>
      </c>
      <c r="H1014">
        <v>2017</v>
      </c>
      <c r="I1014" t="str">
        <f t="shared" si="93"/>
        <v>201706</v>
      </c>
      <c r="J1014" t="str">
        <f t="shared" si="95"/>
        <v>https://www.euro-millions.com/results/06-06-2017</v>
      </c>
      <c r="K1014" t="str">
        <f t="shared" si="96"/>
        <v>http://lottery.merseyworld.com/Euro/archive/Lott1013.html</v>
      </c>
    </row>
    <row r="1015" spans="1:11" x14ac:dyDescent="0.25">
      <c r="A1015">
        <v>1014</v>
      </c>
      <c r="B1015" s="2" t="str">
        <f t="shared" si="90"/>
        <v>09-06-2017</v>
      </c>
      <c r="C1015" t="s">
        <v>10</v>
      </c>
      <c r="D1015">
        <v>9</v>
      </c>
      <c r="E1015" t="str">
        <f t="shared" si="91"/>
        <v>09</v>
      </c>
      <c r="F1015">
        <v>6</v>
      </c>
      <c r="G1015" t="str">
        <f t="shared" si="92"/>
        <v>06</v>
      </c>
      <c r="H1015">
        <v>2017</v>
      </c>
      <c r="I1015" t="str">
        <f t="shared" si="93"/>
        <v>201706</v>
      </c>
      <c r="J1015" t="str">
        <f t="shared" si="95"/>
        <v>https://www.euro-millions.com/results/09-06-2017</v>
      </c>
      <c r="K1015" t="str">
        <f t="shared" si="96"/>
        <v>http://lottery.merseyworld.com/Euro/archive/Lott1014.html</v>
      </c>
    </row>
    <row r="1016" spans="1:11" x14ac:dyDescent="0.25">
      <c r="A1016">
        <v>1015</v>
      </c>
      <c r="B1016" s="2" t="str">
        <f t="shared" si="90"/>
        <v>13-06-2017</v>
      </c>
      <c r="C1016" t="s">
        <v>16</v>
      </c>
      <c r="D1016">
        <v>13</v>
      </c>
      <c r="E1016" t="str">
        <f t="shared" si="91"/>
        <v>13</v>
      </c>
      <c r="F1016">
        <v>6</v>
      </c>
      <c r="G1016" t="str">
        <f t="shared" si="92"/>
        <v>06</v>
      </c>
      <c r="H1016">
        <v>2017</v>
      </c>
      <c r="I1016" t="str">
        <f t="shared" si="93"/>
        <v>201706</v>
      </c>
      <c r="J1016" t="str">
        <f t="shared" si="95"/>
        <v>https://www.euro-millions.com/results/13-06-2017</v>
      </c>
      <c r="K1016" t="str">
        <f t="shared" si="96"/>
        <v>http://lottery.merseyworld.com/Euro/archive/Lott1015.html</v>
      </c>
    </row>
    <row r="1017" spans="1:11" x14ac:dyDescent="0.25">
      <c r="A1017">
        <v>1016</v>
      </c>
      <c r="B1017" s="2" t="str">
        <f t="shared" si="90"/>
        <v>16-06-2017</v>
      </c>
      <c r="C1017" t="s">
        <v>10</v>
      </c>
      <c r="D1017">
        <v>16</v>
      </c>
      <c r="E1017" t="str">
        <f t="shared" si="91"/>
        <v>16</v>
      </c>
      <c r="F1017">
        <v>6</v>
      </c>
      <c r="G1017" t="str">
        <f t="shared" si="92"/>
        <v>06</v>
      </c>
      <c r="H1017">
        <v>2017</v>
      </c>
      <c r="I1017" t="str">
        <f t="shared" si="93"/>
        <v>201706</v>
      </c>
      <c r="J1017" t="str">
        <f t="shared" si="95"/>
        <v>https://www.euro-millions.com/results/16-06-2017</v>
      </c>
      <c r="K1017" t="str">
        <f t="shared" si="96"/>
        <v>http://lottery.merseyworld.com/Euro/archive/Lott1016.html</v>
      </c>
    </row>
    <row r="1018" spans="1:11" x14ac:dyDescent="0.25">
      <c r="A1018">
        <v>1017</v>
      </c>
      <c r="B1018" s="2" t="str">
        <f t="shared" si="90"/>
        <v>20-06-2017</v>
      </c>
      <c r="C1018" t="s">
        <v>16</v>
      </c>
      <c r="D1018">
        <v>20</v>
      </c>
      <c r="E1018" t="str">
        <f t="shared" si="91"/>
        <v>20</v>
      </c>
      <c r="F1018">
        <v>6</v>
      </c>
      <c r="G1018" t="str">
        <f t="shared" si="92"/>
        <v>06</v>
      </c>
      <c r="H1018">
        <v>2017</v>
      </c>
      <c r="I1018" t="str">
        <f t="shared" si="93"/>
        <v>201706</v>
      </c>
      <c r="J1018" t="str">
        <f t="shared" si="95"/>
        <v>https://www.euro-millions.com/results/20-06-2017</v>
      </c>
      <c r="K1018" t="str">
        <f t="shared" si="96"/>
        <v>http://lottery.merseyworld.com/Euro/archive/Lott1017.html</v>
      </c>
    </row>
    <row r="1019" spans="1:11" x14ac:dyDescent="0.25">
      <c r="A1019">
        <v>1018</v>
      </c>
      <c r="B1019" s="2" t="str">
        <f t="shared" si="90"/>
        <v>23-06-2017</v>
      </c>
      <c r="C1019" t="s">
        <v>10</v>
      </c>
      <c r="D1019">
        <v>23</v>
      </c>
      <c r="E1019" t="str">
        <f t="shared" si="91"/>
        <v>23</v>
      </c>
      <c r="F1019">
        <v>6</v>
      </c>
      <c r="G1019" t="str">
        <f t="shared" si="92"/>
        <v>06</v>
      </c>
      <c r="H1019">
        <v>2017</v>
      </c>
      <c r="I1019" t="str">
        <f t="shared" si="93"/>
        <v>201706</v>
      </c>
      <c r="J1019" t="str">
        <f t="shared" si="95"/>
        <v>https://www.euro-millions.com/results/23-06-2017</v>
      </c>
      <c r="K1019" t="str">
        <f t="shared" si="96"/>
        <v>http://lottery.merseyworld.com/Euro/archive/Lott1018.html</v>
      </c>
    </row>
    <row r="1020" spans="1:11" x14ac:dyDescent="0.25">
      <c r="A1020">
        <v>1019</v>
      </c>
      <c r="B1020" s="2" t="str">
        <f t="shared" si="90"/>
        <v>27-06-2017</v>
      </c>
      <c r="C1020" t="s">
        <v>16</v>
      </c>
      <c r="D1020">
        <v>27</v>
      </c>
      <c r="E1020" t="str">
        <f t="shared" si="91"/>
        <v>27</v>
      </c>
      <c r="F1020">
        <v>6</v>
      </c>
      <c r="G1020" t="str">
        <f t="shared" si="92"/>
        <v>06</v>
      </c>
      <c r="H1020">
        <v>2017</v>
      </c>
      <c r="I1020" t="str">
        <f t="shared" si="93"/>
        <v>201706</v>
      </c>
      <c r="J1020" t="str">
        <f t="shared" si="95"/>
        <v>https://www.euro-millions.com/results/27-06-2017</v>
      </c>
      <c r="K1020" t="str">
        <f t="shared" si="96"/>
        <v>http://lottery.merseyworld.com/Euro/archive/Lott1019.html</v>
      </c>
    </row>
    <row r="1021" spans="1:11" x14ac:dyDescent="0.25">
      <c r="A1021">
        <v>1020</v>
      </c>
      <c r="B1021" s="2" t="str">
        <f t="shared" si="90"/>
        <v>30-06-2017</v>
      </c>
      <c r="C1021" t="s">
        <v>10</v>
      </c>
      <c r="D1021">
        <v>30</v>
      </c>
      <c r="E1021" t="str">
        <f t="shared" si="91"/>
        <v>30</v>
      </c>
      <c r="F1021">
        <v>6</v>
      </c>
      <c r="G1021" t="str">
        <f t="shared" si="92"/>
        <v>06</v>
      </c>
      <c r="H1021">
        <v>2017</v>
      </c>
      <c r="I1021" t="str">
        <f t="shared" si="93"/>
        <v>201706</v>
      </c>
      <c r="J1021" t="str">
        <f t="shared" si="95"/>
        <v>https://www.euro-millions.com/results/30-06-2017</v>
      </c>
      <c r="K1021" t="str">
        <f t="shared" si="96"/>
        <v>http://lottery.merseyworld.com/Euro/archive/Lott1020.html</v>
      </c>
    </row>
    <row r="1022" spans="1:11" x14ac:dyDescent="0.25">
      <c r="A1022">
        <v>1021</v>
      </c>
      <c r="B1022" s="2" t="str">
        <f t="shared" si="90"/>
        <v>04-07-2017</v>
      </c>
      <c r="C1022" t="s">
        <v>16</v>
      </c>
      <c r="D1022">
        <v>4</v>
      </c>
      <c r="E1022" t="str">
        <f t="shared" si="91"/>
        <v>04</v>
      </c>
      <c r="F1022">
        <v>7</v>
      </c>
      <c r="G1022" t="str">
        <f t="shared" si="92"/>
        <v>07</v>
      </c>
      <c r="H1022">
        <v>2017</v>
      </c>
      <c r="I1022" t="str">
        <f t="shared" si="93"/>
        <v>201707</v>
      </c>
      <c r="J1022" t="str">
        <f t="shared" si="95"/>
        <v>https://www.euro-millions.com/results/04-07-2017</v>
      </c>
      <c r="K1022" t="str">
        <f t="shared" si="96"/>
        <v>http://lottery.merseyworld.com/Euro/archive/Lott1021.html</v>
      </c>
    </row>
    <row r="1023" spans="1:11" x14ac:dyDescent="0.25">
      <c r="A1023">
        <v>1022</v>
      </c>
      <c r="B1023" s="2" t="str">
        <f t="shared" si="90"/>
        <v>07-07-2017</v>
      </c>
      <c r="C1023" t="s">
        <v>10</v>
      </c>
      <c r="D1023">
        <v>7</v>
      </c>
      <c r="E1023" t="str">
        <f t="shared" si="91"/>
        <v>07</v>
      </c>
      <c r="F1023">
        <v>7</v>
      </c>
      <c r="G1023" t="str">
        <f t="shared" si="92"/>
        <v>07</v>
      </c>
      <c r="H1023">
        <v>2017</v>
      </c>
      <c r="I1023" t="str">
        <f t="shared" si="93"/>
        <v>201707</v>
      </c>
      <c r="J1023" t="str">
        <f t="shared" si="95"/>
        <v>https://www.euro-millions.com/results/07-07-2017</v>
      </c>
      <c r="K1023" t="str">
        <f t="shared" si="96"/>
        <v>http://lottery.merseyworld.com/Euro/archive/Lott1022.html</v>
      </c>
    </row>
    <row r="1024" spans="1:11" x14ac:dyDescent="0.25">
      <c r="A1024">
        <v>1023</v>
      </c>
      <c r="B1024" s="2" t="str">
        <f t="shared" si="90"/>
        <v>11-07-2017</v>
      </c>
      <c r="C1024" t="s">
        <v>16</v>
      </c>
      <c r="D1024">
        <v>11</v>
      </c>
      <c r="E1024" t="str">
        <f t="shared" si="91"/>
        <v>11</v>
      </c>
      <c r="F1024">
        <v>7</v>
      </c>
      <c r="G1024" t="str">
        <f t="shared" si="92"/>
        <v>07</v>
      </c>
      <c r="H1024">
        <v>2017</v>
      </c>
      <c r="I1024" t="str">
        <f t="shared" si="93"/>
        <v>201707</v>
      </c>
      <c r="J1024" t="str">
        <f t="shared" si="95"/>
        <v>https://www.euro-millions.com/results/11-07-2017</v>
      </c>
      <c r="K1024" t="str">
        <f t="shared" si="96"/>
        <v>http://lottery.merseyworld.com/Euro/archive/Lott1023.html</v>
      </c>
    </row>
    <row r="1025" spans="1:11" x14ac:dyDescent="0.25">
      <c r="A1025">
        <v>1024</v>
      </c>
      <c r="B1025" s="2" t="str">
        <f t="shared" si="90"/>
        <v>14-07-2017</v>
      </c>
      <c r="C1025" t="s">
        <v>10</v>
      </c>
      <c r="D1025">
        <v>14</v>
      </c>
      <c r="E1025" t="str">
        <f t="shared" si="91"/>
        <v>14</v>
      </c>
      <c r="F1025">
        <v>7</v>
      </c>
      <c r="G1025" t="str">
        <f t="shared" si="92"/>
        <v>07</v>
      </c>
      <c r="H1025">
        <v>2017</v>
      </c>
      <c r="I1025" t="str">
        <f t="shared" si="93"/>
        <v>201707</v>
      </c>
      <c r="J1025" t="str">
        <f t="shared" si="95"/>
        <v>https://www.euro-millions.com/results/14-07-2017</v>
      </c>
      <c r="K1025" t="str">
        <f t="shared" si="96"/>
        <v>http://lottery.merseyworld.com/Euro/archive/Lott1024.html</v>
      </c>
    </row>
    <row r="1026" spans="1:11" x14ac:dyDescent="0.25">
      <c r="A1026">
        <v>1025</v>
      </c>
      <c r="B1026" s="2" t="str">
        <f t="shared" si="90"/>
        <v>18-07-2017</v>
      </c>
      <c r="C1026" t="s">
        <v>16</v>
      </c>
      <c r="D1026">
        <v>18</v>
      </c>
      <c r="E1026" t="str">
        <f t="shared" si="91"/>
        <v>18</v>
      </c>
      <c r="F1026">
        <v>7</v>
      </c>
      <c r="G1026" t="str">
        <f t="shared" si="92"/>
        <v>07</v>
      </c>
      <c r="H1026">
        <v>2017</v>
      </c>
      <c r="I1026" t="str">
        <f t="shared" si="93"/>
        <v>201707</v>
      </c>
      <c r="J1026" t="str">
        <f t="shared" si="95"/>
        <v>https://www.euro-millions.com/results/18-07-2017</v>
      </c>
      <c r="K1026" t="str">
        <f t="shared" si="96"/>
        <v>http://lottery.merseyworld.com/Euro/archive/Lott1025.html</v>
      </c>
    </row>
    <row r="1027" spans="1:11" x14ac:dyDescent="0.25">
      <c r="A1027">
        <v>1026</v>
      </c>
      <c r="B1027" s="2" t="str">
        <f t="shared" ref="B1027:B1090" si="97">CONCATENATE(E1027,"-",G1027,"-",H1027)</f>
        <v>21-07-2017</v>
      </c>
      <c r="C1027" t="s">
        <v>10</v>
      </c>
      <c r="D1027">
        <v>21</v>
      </c>
      <c r="E1027" t="str">
        <f t="shared" ref="E1027:E1090" si="98">CONCATENATE(IF(LEN(D1027)=1,CONCATENATE("0",D1027),D1027))</f>
        <v>21</v>
      </c>
      <c r="F1027">
        <v>7</v>
      </c>
      <c r="G1027" t="str">
        <f t="shared" ref="G1027:G1090" si="99">CONCATENATE(IF(LEN(F1027)=1,CONCATENATE("0",F1027),F1027))</f>
        <v>07</v>
      </c>
      <c r="H1027">
        <v>2017</v>
      </c>
      <c r="I1027" t="str">
        <f t="shared" ref="I1027:I1090" si="100">CONCATENATE(H1027,IF(LEN(F1027)=1,CONCATENATE("0",F1027),F1027))</f>
        <v>201707</v>
      </c>
      <c r="J1027" t="str">
        <f t="shared" si="95"/>
        <v>https://www.euro-millions.com/results/21-07-2017</v>
      </c>
      <c r="K1027" t="str">
        <f t="shared" si="96"/>
        <v>http://lottery.merseyworld.com/Euro/archive/Lott1026.html</v>
      </c>
    </row>
    <row r="1028" spans="1:11" x14ac:dyDescent="0.25">
      <c r="A1028">
        <v>1027</v>
      </c>
      <c r="B1028" s="2" t="str">
        <f t="shared" si="97"/>
        <v>25-07-2017</v>
      </c>
      <c r="C1028" t="s">
        <v>16</v>
      </c>
      <c r="D1028">
        <v>25</v>
      </c>
      <c r="E1028" t="str">
        <f t="shared" si="98"/>
        <v>25</v>
      </c>
      <c r="F1028">
        <v>7</v>
      </c>
      <c r="G1028" t="str">
        <f t="shared" si="99"/>
        <v>07</v>
      </c>
      <c r="H1028">
        <v>2017</v>
      </c>
      <c r="I1028" t="str">
        <f t="shared" si="100"/>
        <v>201707</v>
      </c>
      <c r="J1028" t="str">
        <f t="shared" si="95"/>
        <v>https://www.euro-millions.com/results/25-07-2017</v>
      </c>
      <c r="K1028" t="str">
        <f t="shared" si="96"/>
        <v>http://lottery.merseyworld.com/Euro/archive/Lott1027.html</v>
      </c>
    </row>
    <row r="1029" spans="1:11" x14ac:dyDescent="0.25">
      <c r="A1029">
        <v>1028</v>
      </c>
      <c r="B1029" s="2" t="str">
        <f t="shared" si="97"/>
        <v>28-07-2017</v>
      </c>
      <c r="C1029" t="s">
        <v>10</v>
      </c>
      <c r="D1029">
        <v>28</v>
      </c>
      <c r="E1029" t="str">
        <f t="shared" si="98"/>
        <v>28</v>
      </c>
      <c r="F1029">
        <v>7</v>
      </c>
      <c r="G1029" t="str">
        <f t="shared" si="99"/>
        <v>07</v>
      </c>
      <c r="H1029">
        <v>2017</v>
      </c>
      <c r="I1029" t="str">
        <f t="shared" si="100"/>
        <v>201707</v>
      </c>
      <c r="J1029" t="str">
        <f t="shared" si="95"/>
        <v>https://www.euro-millions.com/results/28-07-2017</v>
      </c>
      <c r="K1029" t="str">
        <f t="shared" si="96"/>
        <v>http://lottery.merseyworld.com/Euro/archive/Lott1028.html</v>
      </c>
    </row>
    <row r="1030" spans="1:11" x14ac:dyDescent="0.25">
      <c r="A1030">
        <v>1029</v>
      </c>
      <c r="B1030" s="2" t="str">
        <f t="shared" si="97"/>
        <v>01-08-2017</v>
      </c>
      <c r="C1030" t="s">
        <v>16</v>
      </c>
      <c r="D1030">
        <v>1</v>
      </c>
      <c r="E1030" t="str">
        <f t="shared" si="98"/>
        <v>01</v>
      </c>
      <c r="F1030">
        <v>8</v>
      </c>
      <c r="G1030" t="str">
        <f t="shared" si="99"/>
        <v>08</v>
      </c>
      <c r="H1030">
        <v>2017</v>
      </c>
      <c r="I1030" t="str">
        <f t="shared" si="100"/>
        <v>201708</v>
      </c>
      <c r="J1030" t="str">
        <f t="shared" si="95"/>
        <v>https://www.euro-millions.com/results/01-08-2017</v>
      </c>
      <c r="K1030" t="str">
        <f t="shared" si="96"/>
        <v>http://lottery.merseyworld.com/Euro/archive/Lott1029.html</v>
      </c>
    </row>
    <row r="1031" spans="1:11" x14ac:dyDescent="0.25">
      <c r="A1031">
        <v>1030</v>
      </c>
      <c r="B1031" s="2" t="str">
        <f t="shared" si="97"/>
        <v>04-08-2017</v>
      </c>
      <c r="C1031" t="s">
        <v>10</v>
      </c>
      <c r="D1031">
        <v>4</v>
      </c>
      <c r="E1031" t="str">
        <f t="shared" si="98"/>
        <v>04</v>
      </c>
      <c r="F1031">
        <v>8</v>
      </c>
      <c r="G1031" t="str">
        <f t="shared" si="99"/>
        <v>08</v>
      </c>
      <c r="H1031">
        <v>2017</v>
      </c>
      <c r="I1031" t="str">
        <f t="shared" si="100"/>
        <v>201708</v>
      </c>
      <c r="J1031" t="str">
        <f t="shared" si="95"/>
        <v>https://www.euro-millions.com/results/04-08-2017</v>
      </c>
      <c r="K1031" t="str">
        <f t="shared" si="96"/>
        <v>http://lottery.merseyworld.com/Euro/archive/Lott1030.html</v>
      </c>
    </row>
    <row r="1032" spans="1:11" x14ac:dyDescent="0.25">
      <c r="A1032">
        <v>1031</v>
      </c>
      <c r="B1032" s="2" t="str">
        <f t="shared" si="97"/>
        <v>08-08-2017</v>
      </c>
      <c r="C1032" t="s">
        <v>16</v>
      </c>
      <c r="D1032">
        <v>8</v>
      </c>
      <c r="E1032" t="str">
        <f t="shared" si="98"/>
        <v>08</v>
      </c>
      <c r="F1032">
        <v>8</v>
      </c>
      <c r="G1032" t="str">
        <f t="shared" si="99"/>
        <v>08</v>
      </c>
      <c r="H1032">
        <v>2017</v>
      </c>
      <c r="I1032" t="str">
        <f t="shared" si="100"/>
        <v>201708</v>
      </c>
      <c r="J1032" t="str">
        <f t="shared" ref="J1032:J1095" si="101">CONCATENATE("https://www.euro-millions.com/results/",E1032,"-",G1032,"-",H1032)</f>
        <v>https://www.euro-millions.com/results/08-08-2017</v>
      </c>
      <c r="K1032" t="str">
        <f t="shared" si="96"/>
        <v>http://lottery.merseyworld.com/Euro/archive/Lott1031.html</v>
      </c>
    </row>
    <row r="1033" spans="1:11" x14ac:dyDescent="0.25">
      <c r="A1033">
        <v>1032</v>
      </c>
      <c r="B1033" s="2" t="str">
        <f t="shared" si="97"/>
        <v>11-08-2017</v>
      </c>
      <c r="C1033" t="s">
        <v>10</v>
      </c>
      <c r="D1033">
        <v>11</v>
      </c>
      <c r="E1033" t="str">
        <f t="shared" si="98"/>
        <v>11</v>
      </c>
      <c r="F1033">
        <v>8</v>
      </c>
      <c r="G1033" t="str">
        <f t="shared" si="99"/>
        <v>08</v>
      </c>
      <c r="H1033">
        <v>2017</v>
      </c>
      <c r="I1033" t="str">
        <f t="shared" si="100"/>
        <v>201708</v>
      </c>
      <c r="J1033" t="str">
        <f t="shared" si="101"/>
        <v>https://www.euro-millions.com/results/11-08-2017</v>
      </c>
      <c r="K1033" t="str">
        <f t="shared" si="96"/>
        <v>http://lottery.merseyworld.com/Euro/archive/Lott1032.html</v>
      </c>
    </row>
    <row r="1034" spans="1:11" x14ac:dyDescent="0.25">
      <c r="A1034">
        <v>1033</v>
      </c>
      <c r="B1034" s="2" t="str">
        <f t="shared" si="97"/>
        <v>15-08-2017</v>
      </c>
      <c r="C1034" t="s">
        <v>16</v>
      </c>
      <c r="D1034">
        <v>15</v>
      </c>
      <c r="E1034" t="str">
        <f t="shared" si="98"/>
        <v>15</v>
      </c>
      <c r="F1034">
        <v>8</v>
      </c>
      <c r="G1034" t="str">
        <f t="shared" si="99"/>
        <v>08</v>
      </c>
      <c r="H1034">
        <v>2017</v>
      </c>
      <c r="I1034" t="str">
        <f t="shared" si="100"/>
        <v>201708</v>
      </c>
      <c r="J1034" t="str">
        <f t="shared" si="101"/>
        <v>https://www.euro-millions.com/results/15-08-2017</v>
      </c>
      <c r="K1034" t="str">
        <f t="shared" si="96"/>
        <v>http://lottery.merseyworld.com/Euro/archive/Lott1033.html</v>
      </c>
    </row>
    <row r="1035" spans="1:11" x14ac:dyDescent="0.25">
      <c r="A1035">
        <v>1034</v>
      </c>
      <c r="B1035" s="2" t="str">
        <f t="shared" si="97"/>
        <v>18-08-2017</v>
      </c>
      <c r="C1035" t="s">
        <v>10</v>
      </c>
      <c r="D1035">
        <v>18</v>
      </c>
      <c r="E1035" t="str">
        <f t="shared" si="98"/>
        <v>18</v>
      </c>
      <c r="F1035">
        <v>8</v>
      </c>
      <c r="G1035" t="str">
        <f t="shared" si="99"/>
        <v>08</v>
      </c>
      <c r="H1035">
        <v>2017</v>
      </c>
      <c r="I1035" t="str">
        <f t="shared" si="100"/>
        <v>201708</v>
      </c>
      <c r="J1035" t="str">
        <f t="shared" si="101"/>
        <v>https://www.euro-millions.com/results/18-08-2017</v>
      </c>
      <c r="K1035" t="str">
        <f t="shared" si="96"/>
        <v>http://lottery.merseyworld.com/Euro/archive/Lott1034.html</v>
      </c>
    </row>
    <row r="1036" spans="1:11" x14ac:dyDescent="0.25">
      <c r="A1036">
        <v>1035</v>
      </c>
      <c r="B1036" s="2" t="str">
        <f t="shared" si="97"/>
        <v>22-08-2017</v>
      </c>
      <c r="C1036" t="s">
        <v>16</v>
      </c>
      <c r="D1036">
        <v>22</v>
      </c>
      <c r="E1036" t="str">
        <f t="shared" si="98"/>
        <v>22</v>
      </c>
      <c r="F1036">
        <v>8</v>
      </c>
      <c r="G1036" t="str">
        <f t="shared" si="99"/>
        <v>08</v>
      </c>
      <c r="H1036">
        <v>2017</v>
      </c>
      <c r="I1036" t="str">
        <f t="shared" si="100"/>
        <v>201708</v>
      </c>
      <c r="J1036" t="str">
        <f t="shared" si="101"/>
        <v>https://www.euro-millions.com/results/22-08-2017</v>
      </c>
      <c r="K1036" t="str">
        <f t="shared" si="96"/>
        <v>http://lottery.merseyworld.com/Euro/archive/Lott1035.html</v>
      </c>
    </row>
    <row r="1037" spans="1:11" x14ac:dyDescent="0.25">
      <c r="A1037">
        <v>1036</v>
      </c>
      <c r="B1037" s="2" t="str">
        <f t="shared" si="97"/>
        <v>25-08-2017</v>
      </c>
      <c r="C1037" t="s">
        <v>10</v>
      </c>
      <c r="D1037">
        <v>25</v>
      </c>
      <c r="E1037" t="str">
        <f t="shared" si="98"/>
        <v>25</v>
      </c>
      <c r="F1037">
        <v>8</v>
      </c>
      <c r="G1037" t="str">
        <f t="shared" si="99"/>
        <v>08</v>
      </c>
      <c r="H1037">
        <v>2017</v>
      </c>
      <c r="I1037" t="str">
        <f t="shared" si="100"/>
        <v>201708</v>
      </c>
      <c r="J1037" t="str">
        <f t="shared" si="101"/>
        <v>https://www.euro-millions.com/results/25-08-2017</v>
      </c>
      <c r="K1037" t="str">
        <f t="shared" si="96"/>
        <v>http://lottery.merseyworld.com/Euro/archive/Lott1036.html</v>
      </c>
    </row>
    <row r="1038" spans="1:11" x14ac:dyDescent="0.25">
      <c r="A1038">
        <v>1037</v>
      </c>
      <c r="B1038" s="2" t="str">
        <f t="shared" si="97"/>
        <v>29-08-2017</v>
      </c>
      <c r="C1038" t="s">
        <v>16</v>
      </c>
      <c r="D1038">
        <v>29</v>
      </c>
      <c r="E1038" t="str">
        <f t="shared" si="98"/>
        <v>29</v>
      </c>
      <c r="F1038">
        <v>8</v>
      </c>
      <c r="G1038" t="str">
        <f t="shared" si="99"/>
        <v>08</v>
      </c>
      <c r="H1038">
        <v>2017</v>
      </c>
      <c r="I1038" t="str">
        <f t="shared" si="100"/>
        <v>201708</v>
      </c>
      <c r="J1038" t="str">
        <f t="shared" si="101"/>
        <v>https://www.euro-millions.com/results/29-08-2017</v>
      </c>
      <c r="K1038" t="str">
        <f t="shared" si="96"/>
        <v>http://lottery.merseyworld.com/Euro/archive/Lott1037.html</v>
      </c>
    </row>
    <row r="1039" spans="1:11" x14ac:dyDescent="0.25">
      <c r="A1039">
        <v>1038</v>
      </c>
      <c r="B1039" s="2" t="str">
        <f t="shared" si="97"/>
        <v>01-09-2017</v>
      </c>
      <c r="C1039" t="s">
        <v>10</v>
      </c>
      <c r="D1039">
        <v>1</v>
      </c>
      <c r="E1039" t="str">
        <f t="shared" si="98"/>
        <v>01</v>
      </c>
      <c r="F1039">
        <v>9</v>
      </c>
      <c r="G1039" t="str">
        <f t="shared" si="99"/>
        <v>09</v>
      </c>
      <c r="H1039">
        <v>2017</v>
      </c>
      <c r="I1039" t="str">
        <f t="shared" si="100"/>
        <v>201709</v>
      </c>
      <c r="J1039" t="str">
        <f t="shared" si="101"/>
        <v>https://www.euro-millions.com/results/01-09-2017</v>
      </c>
      <c r="K1039" t="str">
        <f t="shared" si="96"/>
        <v>http://lottery.merseyworld.com/Euro/archive/Lott1038.html</v>
      </c>
    </row>
    <row r="1040" spans="1:11" x14ac:dyDescent="0.25">
      <c r="A1040">
        <v>1039</v>
      </c>
      <c r="B1040" s="2" t="str">
        <f t="shared" si="97"/>
        <v>05-09-2017</v>
      </c>
      <c r="C1040" t="s">
        <v>16</v>
      </c>
      <c r="D1040">
        <v>5</v>
      </c>
      <c r="E1040" t="str">
        <f t="shared" si="98"/>
        <v>05</v>
      </c>
      <c r="F1040">
        <v>9</v>
      </c>
      <c r="G1040" t="str">
        <f t="shared" si="99"/>
        <v>09</v>
      </c>
      <c r="H1040">
        <v>2017</v>
      </c>
      <c r="I1040" t="str">
        <f t="shared" si="100"/>
        <v>201709</v>
      </c>
      <c r="J1040" t="str">
        <f t="shared" si="101"/>
        <v>https://www.euro-millions.com/results/05-09-2017</v>
      </c>
      <c r="K1040" t="str">
        <f t="shared" si="96"/>
        <v>http://lottery.merseyworld.com/Euro/archive/Lott1039.html</v>
      </c>
    </row>
    <row r="1041" spans="1:11" x14ac:dyDescent="0.25">
      <c r="A1041">
        <v>1040</v>
      </c>
      <c r="B1041" s="2" t="str">
        <f t="shared" si="97"/>
        <v>08-09-2017</v>
      </c>
      <c r="C1041" t="s">
        <v>10</v>
      </c>
      <c r="D1041">
        <v>8</v>
      </c>
      <c r="E1041" t="str">
        <f t="shared" si="98"/>
        <v>08</v>
      </c>
      <c r="F1041">
        <v>9</v>
      </c>
      <c r="G1041" t="str">
        <f t="shared" si="99"/>
        <v>09</v>
      </c>
      <c r="H1041">
        <v>2017</v>
      </c>
      <c r="I1041" t="str">
        <f t="shared" si="100"/>
        <v>201709</v>
      </c>
      <c r="J1041" t="str">
        <f t="shared" si="101"/>
        <v>https://www.euro-millions.com/results/08-09-2017</v>
      </c>
      <c r="K1041" t="str">
        <f t="shared" si="96"/>
        <v>http://lottery.merseyworld.com/Euro/archive/Lott1040.html</v>
      </c>
    </row>
    <row r="1042" spans="1:11" x14ac:dyDescent="0.25">
      <c r="A1042">
        <v>1041</v>
      </c>
      <c r="B1042" s="2" t="str">
        <f t="shared" si="97"/>
        <v>12-09-2017</v>
      </c>
      <c r="C1042" t="s">
        <v>16</v>
      </c>
      <c r="D1042">
        <v>12</v>
      </c>
      <c r="E1042" t="str">
        <f t="shared" si="98"/>
        <v>12</v>
      </c>
      <c r="F1042">
        <v>9</v>
      </c>
      <c r="G1042" t="str">
        <f t="shared" si="99"/>
        <v>09</v>
      </c>
      <c r="H1042">
        <v>2017</v>
      </c>
      <c r="I1042" t="str">
        <f t="shared" si="100"/>
        <v>201709</v>
      </c>
      <c r="J1042" t="str">
        <f t="shared" si="101"/>
        <v>https://www.euro-millions.com/results/12-09-2017</v>
      </c>
      <c r="K1042" t="str">
        <f t="shared" si="96"/>
        <v>http://lottery.merseyworld.com/Euro/archive/Lott1041.html</v>
      </c>
    </row>
    <row r="1043" spans="1:11" x14ac:dyDescent="0.25">
      <c r="A1043">
        <v>1042</v>
      </c>
      <c r="B1043" s="2" t="str">
        <f t="shared" si="97"/>
        <v>15-09-2017</v>
      </c>
      <c r="C1043" t="s">
        <v>10</v>
      </c>
      <c r="D1043">
        <v>15</v>
      </c>
      <c r="E1043" t="str">
        <f t="shared" si="98"/>
        <v>15</v>
      </c>
      <c r="F1043">
        <v>9</v>
      </c>
      <c r="G1043" t="str">
        <f t="shared" si="99"/>
        <v>09</v>
      </c>
      <c r="H1043">
        <v>2017</v>
      </c>
      <c r="I1043" t="str">
        <f t="shared" si="100"/>
        <v>201709</v>
      </c>
      <c r="J1043" t="str">
        <f t="shared" si="101"/>
        <v>https://www.euro-millions.com/results/15-09-2017</v>
      </c>
      <c r="K1043" t="str">
        <f t="shared" si="96"/>
        <v>http://lottery.merseyworld.com/Euro/archive/Lott1042.html</v>
      </c>
    </row>
    <row r="1044" spans="1:11" x14ac:dyDescent="0.25">
      <c r="A1044">
        <v>1043</v>
      </c>
      <c r="B1044" s="2" t="str">
        <f t="shared" si="97"/>
        <v>19-09-2017</v>
      </c>
      <c r="C1044" t="s">
        <v>16</v>
      </c>
      <c r="D1044">
        <v>19</v>
      </c>
      <c r="E1044" t="str">
        <f t="shared" si="98"/>
        <v>19</v>
      </c>
      <c r="F1044">
        <v>9</v>
      </c>
      <c r="G1044" t="str">
        <f t="shared" si="99"/>
        <v>09</v>
      </c>
      <c r="H1044">
        <v>2017</v>
      </c>
      <c r="I1044" t="str">
        <f t="shared" si="100"/>
        <v>201709</v>
      </c>
      <c r="J1044" t="str">
        <f t="shared" si="101"/>
        <v>https://www.euro-millions.com/results/19-09-2017</v>
      </c>
      <c r="K1044" t="str">
        <f t="shared" si="96"/>
        <v>http://lottery.merseyworld.com/Euro/archive/Lott1043.html</v>
      </c>
    </row>
    <row r="1045" spans="1:11" x14ac:dyDescent="0.25">
      <c r="A1045">
        <v>1044</v>
      </c>
      <c r="B1045" s="2" t="str">
        <f t="shared" si="97"/>
        <v>22-09-2017</v>
      </c>
      <c r="C1045" t="s">
        <v>10</v>
      </c>
      <c r="D1045">
        <v>22</v>
      </c>
      <c r="E1045" t="str">
        <f t="shared" si="98"/>
        <v>22</v>
      </c>
      <c r="F1045">
        <v>9</v>
      </c>
      <c r="G1045" t="str">
        <f t="shared" si="99"/>
        <v>09</v>
      </c>
      <c r="H1045">
        <v>2017</v>
      </c>
      <c r="I1045" t="str">
        <f t="shared" si="100"/>
        <v>201709</v>
      </c>
      <c r="J1045" t="str">
        <f t="shared" si="101"/>
        <v>https://www.euro-millions.com/results/22-09-2017</v>
      </c>
      <c r="K1045" t="str">
        <f t="shared" si="96"/>
        <v>http://lottery.merseyworld.com/Euro/archive/Lott1044.html</v>
      </c>
    </row>
    <row r="1046" spans="1:11" x14ac:dyDescent="0.25">
      <c r="A1046">
        <v>1045</v>
      </c>
      <c r="B1046" s="2" t="str">
        <f t="shared" si="97"/>
        <v>26-09-2017</v>
      </c>
      <c r="C1046" t="s">
        <v>16</v>
      </c>
      <c r="D1046">
        <v>26</v>
      </c>
      <c r="E1046" t="str">
        <f t="shared" si="98"/>
        <v>26</v>
      </c>
      <c r="F1046">
        <v>9</v>
      </c>
      <c r="G1046" t="str">
        <f t="shared" si="99"/>
        <v>09</v>
      </c>
      <c r="H1046">
        <v>2017</v>
      </c>
      <c r="I1046" t="str">
        <f t="shared" si="100"/>
        <v>201709</v>
      </c>
      <c r="J1046" t="str">
        <f t="shared" si="101"/>
        <v>https://www.euro-millions.com/results/26-09-2017</v>
      </c>
      <c r="K1046" t="str">
        <f t="shared" si="96"/>
        <v>http://lottery.merseyworld.com/Euro/archive/Lott1045.html</v>
      </c>
    </row>
    <row r="1047" spans="1:11" x14ac:dyDescent="0.25">
      <c r="A1047">
        <v>1046</v>
      </c>
      <c r="B1047" s="2" t="str">
        <f t="shared" si="97"/>
        <v>29-09-2017</v>
      </c>
      <c r="C1047" t="s">
        <v>10</v>
      </c>
      <c r="D1047">
        <v>29</v>
      </c>
      <c r="E1047" t="str">
        <f t="shared" si="98"/>
        <v>29</v>
      </c>
      <c r="F1047">
        <v>9</v>
      </c>
      <c r="G1047" t="str">
        <f t="shared" si="99"/>
        <v>09</v>
      </c>
      <c r="H1047">
        <v>2017</v>
      </c>
      <c r="I1047" t="str">
        <f t="shared" si="100"/>
        <v>201709</v>
      </c>
      <c r="J1047" t="str">
        <f t="shared" si="101"/>
        <v>https://www.euro-millions.com/results/29-09-2017</v>
      </c>
      <c r="K1047" t="str">
        <f t="shared" si="96"/>
        <v>http://lottery.merseyworld.com/Euro/archive/Lott1046.html</v>
      </c>
    </row>
    <row r="1048" spans="1:11" x14ac:dyDescent="0.25">
      <c r="A1048">
        <v>1047</v>
      </c>
      <c r="B1048" s="2" t="str">
        <f t="shared" si="97"/>
        <v>03-10-2017</v>
      </c>
      <c r="C1048" t="s">
        <v>16</v>
      </c>
      <c r="D1048">
        <v>3</v>
      </c>
      <c r="E1048" t="str">
        <f t="shared" si="98"/>
        <v>03</v>
      </c>
      <c r="F1048">
        <v>10</v>
      </c>
      <c r="G1048" t="str">
        <f t="shared" si="99"/>
        <v>10</v>
      </c>
      <c r="H1048">
        <v>2017</v>
      </c>
      <c r="I1048" t="str">
        <f t="shared" si="100"/>
        <v>201710</v>
      </c>
      <c r="J1048" t="str">
        <f t="shared" si="101"/>
        <v>https://www.euro-millions.com/results/03-10-2017</v>
      </c>
      <c r="K1048" t="str">
        <f t="shared" si="96"/>
        <v>http://lottery.merseyworld.com/Euro/archive/Lott1047.html</v>
      </c>
    </row>
    <row r="1049" spans="1:11" x14ac:dyDescent="0.25">
      <c r="A1049">
        <v>1048</v>
      </c>
      <c r="B1049" s="2" t="str">
        <f t="shared" si="97"/>
        <v>06-10-2017</v>
      </c>
      <c r="C1049" t="s">
        <v>10</v>
      </c>
      <c r="D1049">
        <v>6</v>
      </c>
      <c r="E1049" t="str">
        <f t="shared" si="98"/>
        <v>06</v>
      </c>
      <c r="F1049">
        <v>10</v>
      </c>
      <c r="G1049" t="str">
        <f t="shared" si="99"/>
        <v>10</v>
      </c>
      <c r="H1049">
        <v>2017</v>
      </c>
      <c r="I1049" t="str">
        <f t="shared" si="100"/>
        <v>201710</v>
      </c>
      <c r="J1049" t="str">
        <f t="shared" si="101"/>
        <v>https://www.euro-millions.com/results/06-10-2017</v>
      </c>
      <c r="K1049" t="str">
        <f t="shared" si="96"/>
        <v>http://lottery.merseyworld.com/Euro/archive/Lott1048.html</v>
      </c>
    </row>
    <row r="1050" spans="1:11" x14ac:dyDescent="0.25">
      <c r="A1050">
        <v>1049</v>
      </c>
      <c r="B1050" s="2" t="str">
        <f t="shared" si="97"/>
        <v>10-10-2017</v>
      </c>
      <c r="C1050" t="s">
        <v>16</v>
      </c>
      <c r="D1050">
        <v>10</v>
      </c>
      <c r="E1050" t="str">
        <f t="shared" si="98"/>
        <v>10</v>
      </c>
      <c r="F1050">
        <v>10</v>
      </c>
      <c r="G1050" t="str">
        <f t="shared" si="99"/>
        <v>10</v>
      </c>
      <c r="H1050">
        <v>2017</v>
      </c>
      <c r="I1050" t="str">
        <f t="shared" si="100"/>
        <v>201710</v>
      </c>
      <c r="J1050" t="str">
        <f t="shared" si="101"/>
        <v>https://www.euro-millions.com/results/10-10-2017</v>
      </c>
      <c r="K1050" t="str">
        <f t="shared" si="96"/>
        <v>http://lottery.merseyworld.com/Euro/archive/Lott1049.html</v>
      </c>
    </row>
    <row r="1051" spans="1:11" x14ac:dyDescent="0.25">
      <c r="A1051">
        <v>1050</v>
      </c>
      <c r="B1051" s="2" t="str">
        <f t="shared" si="97"/>
        <v>13-10-2017</v>
      </c>
      <c r="C1051" t="s">
        <v>10</v>
      </c>
      <c r="D1051">
        <v>13</v>
      </c>
      <c r="E1051" t="str">
        <f t="shared" si="98"/>
        <v>13</v>
      </c>
      <c r="F1051">
        <v>10</v>
      </c>
      <c r="G1051" t="str">
        <f t="shared" si="99"/>
        <v>10</v>
      </c>
      <c r="H1051">
        <v>2017</v>
      </c>
      <c r="I1051" t="str">
        <f t="shared" si="100"/>
        <v>201710</v>
      </c>
      <c r="J1051" t="str">
        <f t="shared" si="101"/>
        <v>https://www.euro-millions.com/results/13-10-2017</v>
      </c>
      <c r="K1051" t="str">
        <f t="shared" si="96"/>
        <v>http://lottery.merseyworld.com/Euro/archive/Lott1050.html</v>
      </c>
    </row>
    <row r="1052" spans="1:11" x14ac:dyDescent="0.25">
      <c r="A1052">
        <v>1051</v>
      </c>
      <c r="B1052" s="2" t="str">
        <f t="shared" si="97"/>
        <v>17-10-2017</v>
      </c>
      <c r="C1052" t="s">
        <v>16</v>
      </c>
      <c r="D1052">
        <v>17</v>
      </c>
      <c r="E1052" t="str">
        <f t="shared" si="98"/>
        <v>17</v>
      </c>
      <c r="F1052">
        <v>10</v>
      </c>
      <c r="G1052" t="str">
        <f t="shared" si="99"/>
        <v>10</v>
      </c>
      <c r="H1052">
        <v>2017</v>
      </c>
      <c r="I1052" t="str">
        <f t="shared" si="100"/>
        <v>201710</v>
      </c>
      <c r="J1052" t="str">
        <f t="shared" si="101"/>
        <v>https://www.euro-millions.com/results/17-10-2017</v>
      </c>
      <c r="K1052" t="str">
        <f t="shared" si="96"/>
        <v>http://lottery.merseyworld.com/Euro/archive/Lott1051.html</v>
      </c>
    </row>
    <row r="1053" spans="1:11" x14ac:dyDescent="0.25">
      <c r="A1053">
        <v>1052</v>
      </c>
      <c r="B1053" s="2" t="str">
        <f t="shared" si="97"/>
        <v>20-10-2017</v>
      </c>
      <c r="C1053" t="s">
        <v>10</v>
      </c>
      <c r="D1053">
        <v>20</v>
      </c>
      <c r="E1053" t="str">
        <f t="shared" si="98"/>
        <v>20</v>
      </c>
      <c r="F1053">
        <v>10</v>
      </c>
      <c r="G1053" t="str">
        <f t="shared" si="99"/>
        <v>10</v>
      </c>
      <c r="H1053">
        <v>2017</v>
      </c>
      <c r="I1053" t="str">
        <f t="shared" si="100"/>
        <v>201710</v>
      </c>
      <c r="J1053" t="str">
        <f t="shared" si="101"/>
        <v>https://www.euro-millions.com/results/20-10-2017</v>
      </c>
      <c r="K1053" t="str">
        <f t="shared" si="96"/>
        <v>http://lottery.merseyworld.com/Euro/archive/Lott1052.html</v>
      </c>
    </row>
    <row r="1054" spans="1:11" x14ac:dyDescent="0.25">
      <c r="A1054">
        <v>1053</v>
      </c>
      <c r="B1054" s="2" t="str">
        <f t="shared" si="97"/>
        <v>24-10-2017</v>
      </c>
      <c r="C1054" t="s">
        <v>16</v>
      </c>
      <c r="D1054">
        <v>24</v>
      </c>
      <c r="E1054" t="str">
        <f t="shared" si="98"/>
        <v>24</v>
      </c>
      <c r="F1054">
        <v>10</v>
      </c>
      <c r="G1054" t="str">
        <f t="shared" si="99"/>
        <v>10</v>
      </c>
      <c r="H1054">
        <v>2017</v>
      </c>
      <c r="I1054" t="str">
        <f t="shared" si="100"/>
        <v>201710</v>
      </c>
      <c r="J1054" t="str">
        <f t="shared" si="101"/>
        <v>https://www.euro-millions.com/results/24-10-2017</v>
      </c>
      <c r="K1054" t="str">
        <f t="shared" si="96"/>
        <v>http://lottery.merseyworld.com/Euro/archive/Lott1053.html</v>
      </c>
    </row>
    <row r="1055" spans="1:11" x14ac:dyDescent="0.25">
      <c r="A1055">
        <v>1054</v>
      </c>
      <c r="B1055" s="2" t="str">
        <f t="shared" si="97"/>
        <v>27-10-2017</v>
      </c>
      <c r="C1055" t="s">
        <v>10</v>
      </c>
      <c r="D1055">
        <v>27</v>
      </c>
      <c r="E1055" t="str">
        <f t="shared" si="98"/>
        <v>27</v>
      </c>
      <c r="F1055">
        <v>10</v>
      </c>
      <c r="G1055" t="str">
        <f t="shared" si="99"/>
        <v>10</v>
      </c>
      <c r="H1055">
        <v>2017</v>
      </c>
      <c r="I1055" t="str">
        <f t="shared" si="100"/>
        <v>201710</v>
      </c>
      <c r="J1055" t="str">
        <f t="shared" si="101"/>
        <v>https://www.euro-millions.com/results/27-10-2017</v>
      </c>
      <c r="K1055" t="str">
        <f t="shared" si="96"/>
        <v>http://lottery.merseyworld.com/Euro/archive/Lott1054.html</v>
      </c>
    </row>
    <row r="1056" spans="1:11" x14ac:dyDescent="0.25">
      <c r="A1056">
        <v>1055</v>
      </c>
      <c r="B1056" s="2" t="str">
        <f t="shared" si="97"/>
        <v>31-10-2017</v>
      </c>
      <c r="C1056" t="s">
        <v>16</v>
      </c>
      <c r="D1056">
        <v>31</v>
      </c>
      <c r="E1056" t="str">
        <f t="shared" si="98"/>
        <v>31</v>
      </c>
      <c r="F1056">
        <v>10</v>
      </c>
      <c r="G1056" t="str">
        <f t="shared" si="99"/>
        <v>10</v>
      </c>
      <c r="H1056">
        <v>2017</v>
      </c>
      <c r="I1056" t="str">
        <f t="shared" si="100"/>
        <v>201710</v>
      </c>
      <c r="J1056" t="str">
        <f t="shared" si="101"/>
        <v>https://www.euro-millions.com/results/31-10-2017</v>
      </c>
      <c r="K1056" t="str">
        <f t="shared" si="96"/>
        <v>http://lottery.merseyworld.com/Euro/archive/Lott1055.html</v>
      </c>
    </row>
    <row r="1057" spans="1:11" x14ac:dyDescent="0.25">
      <c r="A1057">
        <v>1056</v>
      </c>
      <c r="B1057" s="2" t="str">
        <f t="shared" si="97"/>
        <v>03-11-2017</v>
      </c>
      <c r="C1057" t="s">
        <v>10</v>
      </c>
      <c r="D1057">
        <v>3</v>
      </c>
      <c r="E1057" t="str">
        <f t="shared" si="98"/>
        <v>03</v>
      </c>
      <c r="F1057">
        <v>11</v>
      </c>
      <c r="G1057" t="str">
        <f t="shared" si="99"/>
        <v>11</v>
      </c>
      <c r="H1057">
        <v>2017</v>
      </c>
      <c r="I1057" t="str">
        <f t="shared" si="100"/>
        <v>201711</v>
      </c>
      <c r="J1057" t="str">
        <f t="shared" si="101"/>
        <v>https://www.euro-millions.com/results/03-11-2017</v>
      </c>
      <c r="K1057" t="str">
        <f t="shared" si="96"/>
        <v>http://lottery.merseyworld.com/Euro/archive/Lott1056.html</v>
      </c>
    </row>
    <row r="1058" spans="1:11" x14ac:dyDescent="0.25">
      <c r="A1058">
        <v>1057</v>
      </c>
      <c r="B1058" s="2" t="str">
        <f t="shared" si="97"/>
        <v>07-11-2017</v>
      </c>
      <c r="C1058" t="s">
        <v>16</v>
      </c>
      <c r="D1058">
        <v>7</v>
      </c>
      <c r="E1058" t="str">
        <f t="shared" si="98"/>
        <v>07</v>
      </c>
      <c r="F1058">
        <v>11</v>
      </c>
      <c r="G1058" t="str">
        <f t="shared" si="99"/>
        <v>11</v>
      </c>
      <c r="H1058">
        <v>2017</v>
      </c>
      <c r="I1058" t="str">
        <f t="shared" si="100"/>
        <v>201711</v>
      </c>
      <c r="J1058" t="str">
        <f t="shared" si="101"/>
        <v>https://www.euro-millions.com/results/07-11-2017</v>
      </c>
      <c r="K1058" t="str">
        <f t="shared" si="96"/>
        <v>http://lottery.merseyworld.com/Euro/archive/Lott1057.html</v>
      </c>
    </row>
    <row r="1059" spans="1:11" x14ac:dyDescent="0.25">
      <c r="A1059">
        <v>1058</v>
      </c>
      <c r="B1059" s="2" t="str">
        <f t="shared" si="97"/>
        <v>10-11-2017</v>
      </c>
      <c r="C1059" t="s">
        <v>10</v>
      </c>
      <c r="D1059">
        <v>10</v>
      </c>
      <c r="E1059" t="str">
        <f t="shared" si="98"/>
        <v>10</v>
      </c>
      <c r="F1059">
        <v>11</v>
      </c>
      <c r="G1059" t="str">
        <f t="shared" si="99"/>
        <v>11</v>
      </c>
      <c r="H1059">
        <v>2017</v>
      </c>
      <c r="I1059" t="str">
        <f t="shared" si="100"/>
        <v>201711</v>
      </c>
      <c r="J1059" t="str">
        <f t="shared" si="101"/>
        <v>https://www.euro-millions.com/results/10-11-2017</v>
      </c>
      <c r="K1059" t="str">
        <f t="shared" si="96"/>
        <v>http://lottery.merseyworld.com/Euro/archive/Lott1058.html</v>
      </c>
    </row>
    <row r="1060" spans="1:11" x14ac:dyDescent="0.25">
      <c r="A1060">
        <v>1059</v>
      </c>
      <c r="B1060" s="2" t="str">
        <f t="shared" si="97"/>
        <v>14-11-2017</v>
      </c>
      <c r="C1060" t="s">
        <v>16</v>
      </c>
      <c r="D1060">
        <v>14</v>
      </c>
      <c r="E1060" t="str">
        <f t="shared" si="98"/>
        <v>14</v>
      </c>
      <c r="F1060">
        <v>11</v>
      </c>
      <c r="G1060" t="str">
        <f t="shared" si="99"/>
        <v>11</v>
      </c>
      <c r="H1060">
        <v>2017</v>
      </c>
      <c r="I1060" t="str">
        <f t="shared" si="100"/>
        <v>201711</v>
      </c>
      <c r="J1060" t="str">
        <f t="shared" si="101"/>
        <v>https://www.euro-millions.com/results/14-11-2017</v>
      </c>
      <c r="K1060" t="str">
        <f t="shared" si="96"/>
        <v>http://lottery.merseyworld.com/Euro/archive/Lott1059.html</v>
      </c>
    </row>
    <row r="1061" spans="1:11" x14ac:dyDescent="0.25">
      <c r="A1061">
        <v>1060</v>
      </c>
      <c r="B1061" s="2" t="str">
        <f t="shared" si="97"/>
        <v>17-11-2017</v>
      </c>
      <c r="C1061" t="s">
        <v>10</v>
      </c>
      <c r="D1061">
        <v>17</v>
      </c>
      <c r="E1061" t="str">
        <f t="shared" si="98"/>
        <v>17</v>
      </c>
      <c r="F1061">
        <v>11</v>
      </c>
      <c r="G1061" t="str">
        <f t="shared" si="99"/>
        <v>11</v>
      </c>
      <c r="H1061">
        <v>2017</v>
      </c>
      <c r="I1061" t="str">
        <f t="shared" si="100"/>
        <v>201711</v>
      </c>
      <c r="J1061" t="str">
        <f t="shared" si="101"/>
        <v>https://www.euro-millions.com/results/17-11-2017</v>
      </c>
      <c r="K1061" t="str">
        <f t="shared" si="96"/>
        <v>http://lottery.merseyworld.com/Euro/archive/Lott1060.html</v>
      </c>
    </row>
    <row r="1062" spans="1:11" x14ac:dyDescent="0.25">
      <c r="A1062">
        <v>1061</v>
      </c>
      <c r="B1062" s="2" t="str">
        <f t="shared" si="97"/>
        <v>21-11-2017</v>
      </c>
      <c r="C1062" t="s">
        <v>16</v>
      </c>
      <c r="D1062">
        <v>21</v>
      </c>
      <c r="E1062" t="str">
        <f t="shared" si="98"/>
        <v>21</v>
      </c>
      <c r="F1062">
        <v>11</v>
      </c>
      <c r="G1062" t="str">
        <f t="shared" si="99"/>
        <v>11</v>
      </c>
      <c r="H1062">
        <v>2017</v>
      </c>
      <c r="I1062" t="str">
        <f t="shared" si="100"/>
        <v>201711</v>
      </c>
      <c r="J1062" t="str">
        <f t="shared" si="101"/>
        <v>https://www.euro-millions.com/results/21-11-2017</v>
      </c>
      <c r="K1062" t="str">
        <f t="shared" si="96"/>
        <v>http://lottery.merseyworld.com/Euro/archive/Lott1061.html</v>
      </c>
    </row>
    <row r="1063" spans="1:11" x14ac:dyDescent="0.25">
      <c r="A1063">
        <v>1062</v>
      </c>
      <c r="B1063" s="2" t="str">
        <f t="shared" si="97"/>
        <v>24-11-2017</v>
      </c>
      <c r="C1063" t="s">
        <v>10</v>
      </c>
      <c r="D1063">
        <v>24</v>
      </c>
      <c r="E1063" t="str">
        <f t="shared" si="98"/>
        <v>24</v>
      </c>
      <c r="F1063">
        <v>11</v>
      </c>
      <c r="G1063" t="str">
        <f t="shared" si="99"/>
        <v>11</v>
      </c>
      <c r="H1063">
        <v>2017</v>
      </c>
      <c r="I1063" t="str">
        <f t="shared" si="100"/>
        <v>201711</v>
      </c>
      <c r="J1063" t="str">
        <f t="shared" si="101"/>
        <v>https://www.euro-millions.com/results/24-11-2017</v>
      </c>
      <c r="K1063" t="str">
        <f t="shared" si="96"/>
        <v>http://lottery.merseyworld.com/Euro/archive/Lott1062.html</v>
      </c>
    </row>
    <row r="1064" spans="1:11" x14ac:dyDescent="0.25">
      <c r="A1064">
        <v>1063</v>
      </c>
      <c r="B1064" s="2" t="str">
        <f t="shared" si="97"/>
        <v>28-11-2017</v>
      </c>
      <c r="C1064" t="s">
        <v>16</v>
      </c>
      <c r="D1064">
        <v>28</v>
      </c>
      <c r="E1064" t="str">
        <f t="shared" si="98"/>
        <v>28</v>
      </c>
      <c r="F1064">
        <v>11</v>
      </c>
      <c r="G1064" t="str">
        <f t="shared" si="99"/>
        <v>11</v>
      </c>
      <c r="H1064">
        <v>2017</v>
      </c>
      <c r="I1064" t="str">
        <f t="shared" si="100"/>
        <v>201711</v>
      </c>
      <c r="J1064" t="str">
        <f t="shared" si="101"/>
        <v>https://www.euro-millions.com/results/28-11-2017</v>
      </c>
      <c r="K1064" t="str">
        <f t="shared" si="96"/>
        <v>http://lottery.merseyworld.com/Euro/archive/Lott1063.html</v>
      </c>
    </row>
    <row r="1065" spans="1:11" x14ac:dyDescent="0.25">
      <c r="A1065">
        <v>1064</v>
      </c>
      <c r="B1065" s="2" t="str">
        <f t="shared" si="97"/>
        <v>01-12-2017</v>
      </c>
      <c r="C1065" t="s">
        <v>10</v>
      </c>
      <c r="D1065">
        <v>1</v>
      </c>
      <c r="E1065" t="str">
        <f t="shared" si="98"/>
        <v>01</v>
      </c>
      <c r="F1065">
        <v>12</v>
      </c>
      <c r="G1065" t="str">
        <f t="shared" si="99"/>
        <v>12</v>
      </c>
      <c r="H1065">
        <v>2017</v>
      </c>
      <c r="I1065" t="str">
        <f t="shared" si="100"/>
        <v>201712</v>
      </c>
      <c r="J1065" t="str">
        <f t="shared" si="101"/>
        <v>https://www.euro-millions.com/results/01-12-2017</v>
      </c>
      <c r="K1065" t="str">
        <f t="shared" si="96"/>
        <v>http://lottery.merseyworld.com/Euro/archive/Lott1064.html</v>
      </c>
    </row>
    <row r="1066" spans="1:11" x14ac:dyDescent="0.25">
      <c r="A1066">
        <v>1065</v>
      </c>
      <c r="B1066" s="2" t="str">
        <f t="shared" si="97"/>
        <v>05-12-2017</v>
      </c>
      <c r="C1066" t="s">
        <v>16</v>
      </c>
      <c r="D1066">
        <v>5</v>
      </c>
      <c r="E1066" t="str">
        <f t="shared" si="98"/>
        <v>05</v>
      </c>
      <c r="F1066">
        <v>12</v>
      </c>
      <c r="G1066" t="str">
        <f t="shared" si="99"/>
        <v>12</v>
      </c>
      <c r="H1066">
        <v>2017</v>
      </c>
      <c r="I1066" t="str">
        <f t="shared" si="100"/>
        <v>201712</v>
      </c>
      <c r="J1066" t="str">
        <f t="shared" si="101"/>
        <v>https://www.euro-millions.com/results/05-12-2017</v>
      </c>
      <c r="K1066" t="str">
        <f t="shared" si="96"/>
        <v>http://lottery.merseyworld.com/Euro/archive/Lott1065.html</v>
      </c>
    </row>
    <row r="1067" spans="1:11" x14ac:dyDescent="0.25">
      <c r="A1067">
        <v>1066</v>
      </c>
      <c r="B1067" s="2" t="str">
        <f t="shared" si="97"/>
        <v>08-12-2017</v>
      </c>
      <c r="C1067" t="s">
        <v>10</v>
      </c>
      <c r="D1067">
        <v>8</v>
      </c>
      <c r="E1067" t="str">
        <f t="shared" si="98"/>
        <v>08</v>
      </c>
      <c r="F1067">
        <v>12</v>
      </c>
      <c r="G1067" t="str">
        <f t="shared" si="99"/>
        <v>12</v>
      </c>
      <c r="H1067">
        <v>2017</v>
      </c>
      <c r="I1067" t="str">
        <f t="shared" si="100"/>
        <v>201712</v>
      </c>
      <c r="J1067" t="str">
        <f t="shared" si="101"/>
        <v>https://www.euro-millions.com/results/08-12-2017</v>
      </c>
      <c r="K1067" t="str">
        <f t="shared" ref="K1067:K1099" si="102">CONCATENATE("http://lottery.merseyworld.com/Euro/archive/Lott",RIGHT(CONCATENATE("00",A1067),4),".html")</f>
        <v>http://lottery.merseyworld.com/Euro/archive/Lott1066.html</v>
      </c>
    </row>
    <row r="1068" spans="1:11" x14ac:dyDescent="0.25">
      <c r="A1068">
        <v>1067</v>
      </c>
      <c r="B1068" s="2" t="str">
        <f t="shared" si="97"/>
        <v>12-12-2017</v>
      </c>
      <c r="C1068" t="s">
        <v>16</v>
      </c>
      <c r="D1068">
        <v>12</v>
      </c>
      <c r="E1068" t="str">
        <f t="shared" si="98"/>
        <v>12</v>
      </c>
      <c r="F1068">
        <v>12</v>
      </c>
      <c r="G1068" t="str">
        <f t="shared" si="99"/>
        <v>12</v>
      </c>
      <c r="H1068">
        <v>2017</v>
      </c>
      <c r="I1068" t="str">
        <f t="shared" si="100"/>
        <v>201712</v>
      </c>
      <c r="J1068" t="str">
        <f t="shared" si="101"/>
        <v>https://www.euro-millions.com/results/12-12-2017</v>
      </c>
      <c r="K1068" t="str">
        <f t="shared" si="102"/>
        <v>http://lottery.merseyworld.com/Euro/archive/Lott1067.html</v>
      </c>
    </row>
    <row r="1069" spans="1:11" x14ac:dyDescent="0.25">
      <c r="A1069">
        <v>1068</v>
      </c>
      <c r="B1069" s="2" t="str">
        <f t="shared" si="97"/>
        <v>15-12-2017</v>
      </c>
      <c r="C1069" t="s">
        <v>10</v>
      </c>
      <c r="D1069">
        <v>15</v>
      </c>
      <c r="E1069" t="str">
        <f t="shared" si="98"/>
        <v>15</v>
      </c>
      <c r="F1069">
        <v>12</v>
      </c>
      <c r="G1069" t="str">
        <f t="shared" si="99"/>
        <v>12</v>
      </c>
      <c r="H1069">
        <v>2017</v>
      </c>
      <c r="I1069" t="str">
        <f t="shared" si="100"/>
        <v>201712</v>
      </c>
      <c r="J1069" t="str">
        <f t="shared" si="101"/>
        <v>https://www.euro-millions.com/results/15-12-2017</v>
      </c>
      <c r="K1069" t="str">
        <f t="shared" si="102"/>
        <v>http://lottery.merseyworld.com/Euro/archive/Lott1068.html</v>
      </c>
    </row>
    <row r="1070" spans="1:11" x14ac:dyDescent="0.25">
      <c r="A1070">
        <v>1069</v>
      </c>
      <c r="B1070" s="2" t="str">
        <f t="shared" si="97"/>
        <v>19-12-2017</v>
      </c>
      <c r="C1070" t="s">
        <v>16</v>
      </c>
      <c r="D1070">
        <v>19</v>
      </c>
      <c r="E1070" t="str">
        <f t="shared" si="98"/>
        <v>19</v>
      </c>
      <c r="F1070">
        <v>12</v>
      </c>
      <c r="G1070" t="str">
        <f t="shared" si="99"/>
        <v>12</v>
      </c>
      <c r="H1070">
        <v>2017</v>
      </c>
      <c r="I1070" t="str">
        <f t="shared" si="100"/>
        <v>201712</v>
      </c>
      <c r="J1070" t="str">
        <f t="shared" si="101"/>
        <v>https://www.euro-millions.com/results/19-12-2017</v>
      </c>
      <c r="K1070" t="str">
        <f t="shared" si="102"/>
        <v>http://lottery.merseyworld.com/Euro/archive/Lott1069.html</v>
      </c>
    </row>
    <row r="1071" spans="1:11" x14ac:dyDescent="0.25">
      <c r="A1071">
        <v>1070</v>
      </c>
      <c r="B1071" s="2" t="str">
        <f t="shared" si="97"/>
        <v>22-12-2017</v>
      </c>
      <c r="C1071" t="s">
        <v>10</v>
      </c>
      <c r="D1071">
        <v>22</v>
      </c>
      <c r="E1071" t="str">
        <f t="shared" si="98"/>
        <v>22</v>
      </c>
      <c r="F1071">
        <v>12</v>
      </c>
      <c r="G1071" t="str">
        <f t="shared" si="99"/>
        <v>12</v>
      </c>
      <c r="H1071">
        <v>2017</v>
      </c>
      <c r="I1071" t="str">
        <f t="shared" si="100"/>
        <v>201712</v>
      </c>
      <c r="J1071" t="str">
        <f t="shared" si="101"/>
        <v>https://www.euro-millions.com/results/22-12-2017</v>
      </c>
      <c r="K1071" t="str">
        <f t="shared" si="102"/>
        <v>http://lottery.merseyworld.com/Euro/archive/Lott1070.html</v>
      </c>
    </row>
    <row r="1072" spans="1:11" x14ac:dyDescent="0.25">
      <c r="A1072">
        <v>1071</v>
      </c>
      <c r="B1072" s="2" t="str">
        <f t="shared" si="97"/>
        <v>26-12-2017</v>
      </c>
      <c r="C1072" t="s">
        <v>16</v>
      </c>
      <c r="D1072">
        <v>26</v>
      </c>
      <c r="E1072" t="str">
        <f t="shared" si="98"/>
        <v>26</v>
      </c>
      <c r="F1072">
        <v>12</v>
      </c>
      <c r="G1072" t="str">
        <f t="shared" si="99"/>
        <v>12</v>
      </c>
      <c r="H1072">
        <v>2017</v>
      </c>
      <c r="I1072" t="str">
        <f t="shared" si="100"/>
        <v>201712</v>
      </c>
      <c r="J1072" t="str">
        <f t="shared" si="101"/>
        <v>https://www.euro-millions.com/results/26-12-2017</v>
      </c>
      <c r="K1072" t="str">
        <f t="shared" si="102"/>
        <v>http://lottery.merseyworld.com/Euro/archive/Lott1071.html</v>
      </c>
    </row>
    <row r="1073" spans="1:11" x14ac:dyDescent="0.25">
      <c r="A1073">
        <v>1072</v>
      </c>
      <c r="B1073" s="2" t="str">
        <f t="shared" si="97"/>
        <v>29-12-2017</v>
      </c>
      <c r="C1073" t="s">
        <v>10</v>
      </c>
      <c r="D1073">
        <v>29</v>
      </c>
      <c r="E1073" t="str">
        <f t="shared" si="98"/>
        <v>29</v>
      </c>
      <c r="F1073">
        <v>12</v>
      </c>
      <c r="G1073" t="str">
        <f t="shared" si="99"/>
        <v>12</v>
      </c>
      <c r="H1073">
        <v>2017</v>
      </c>
      <c r="I1073" t="str">
        <f t="shared" si="100"/>
        <v>201712</v>
      </c>
      <c r="J1073" t="str">
        <f t="shared" si="101"/>
        <v>https://www.euro-millions.com/results/29-12-2017</v>
      </c>
      <c r="K1073" t="str">
        <f t="shared" si="102"/>
        <v>http://lottery.merseyworld.com/Euro/archive/Lott1072.html</v>
      </c>
    </row>
    <row r="1074" spans="1:11" x14ac:dyDescent="0.25">
      <c r="A1074">
        <v>1073</v>
      </c>
      <c r="B1074" s="2" t="str">
        <f t="shared" si="97"/>
        <v>02-01-2018</v>
      </c>
      <c r="C1074" t="s">
        <v>16</v>
      </c>
      <c r="D1074">
        <v>2</v>
      </c>
      <c r="E1074" t="str">
        <f t="shared" si="98"/>
        <v>02</v>
      </c>
      <c r="F1074">
        <v>1</v>
      </c>
      <c r="G1074" t="str">
        <f t="shared" si="99"/>
        <v>01</v>
      </c>
      <c r="H1074">
        <v>2018</v>
      </c>
      <c r="I1074" t="str">
        <f t="shared" si="100"/>
        <v>201801</v>
      </c>
      <c r="J1074" t="str">
        <f t="shared" si="101"/>
        <v>https://www.euro-millions.com/results/02-01-2018</v>
      </c>
      <c r="K1074" t="str">
        <f t="shared" si="102"/>
        <v>http://lottery.merseyworld.com/Euro/archive/Lott1073.html</v>
      </c>
    </row>
    <row r="1075" spans="1:11" x14ac:dyDescent="0.25">
      <c r="A1075">
        <v>1074</v>
      </c>
      <c r="B1075" s="2" t="str">
        <f t="shared" si="97"/>
        <v>05-01-2018</v>
      </c>
      <c r="C1075" t="s">
        <v>10</v>
      </c>
      <c r="D1075">
        <v>5</v>
      </c>
      <c r="E1075" t="str">
        <f t="shared" si="98"/>
        <v>05</v>
      </c>
      <c r="F1075">
        <v>1</v>
      </c>
      <c r="G1075" t="str">
        <f t="shared" si="99"/>
        <v>01</v>
      </c>
      <c r="H1075">
        <v>2018</v>
      </c>
      <c r="I1075" t="str">
        <f t="shared" si="100"/>
        <v>201801</v>
      </c>
      <c r="J1075" t="str">
        <f t="shared" si="101"/>
        <v>https://www.euro-millions.com/results/05-01-2018</v>
      </c>
      <c r="K1075" t="str">
        <f t="shared" si="102"/>
        <v>http://lottery.merseyworld.com/Euro/archive/Lott1074.html</v>
      </c>
    </row>
    <row r="1076" spans="1:11" x14ac:dyDescent="0.25">
      <c r="A1076">
        <v>1075</v>
      </c>
      <c r="B1076" s="2" t="str">
        <f t="shared" si="97"/>
        <v>09-01-2018</v>
      </c>
      <c r="C1076" t="s">
        <v>16</v>
      </c>
      <c r="D1076">
        <v>9</v>
      </c>
      <c r="E1076" t="str">
        <f t="shared" si="98"/>
        <v>09</v>
      </c>
      <c r="F1076">
        <v>1</v>
      </c>
      <c r="G1076" t="str">
        <f t="shared" si="99"/>
        <v>01</v>
      </c>
      <c r="H1076">
        <v>2018</v>
      </c>
      <c r="I1076" t="str">
        <f t="shared" si="100"/>
        <v>201801</v>
      </c>
      <c r="J1076" t="str">
        <f t="shared" si="101"/>
        <v>https://www.euro-millions.com/results/09-01-2018</v>
      </c>
      <c r="K1076" t="str">
        <f t="shared" si="102"/>
        <v>http://lottery.merseyworld.com/Euro/archive/Lott1075.html</v>
      </c>
    </row>
    <row r="1077" spans="1:11" x14ac:dyDescent="0.25">
      <c r="A1077">
        <v>1076</v>
      </c>
      <c r="B1077" s="2" t="str">
        <f t="shared" si="97"/>
        <v>12-01-2018</v>
      </c>
      <c r="C1077" t="s">
        <v>10</v>
      </c>
      <c r="D1077">
        <v>12</v>
      </c>
      <c r="E1077" t="str">
        <f t="shared" si="98"/>
        <v>12</v>
      </c>
      <c r="F1077">
        <v>1</v>
      </c>
      <c r="G1077" t="str">
        <f t="shared" si="99"/>
        <v>01</v>
      </c>
      <c r="H1077">
        <v>2018</v>
      </c>
      <c r="I1077" t="str">
        <f t="shared" si="100"/>
        <v>201801</v>
      </c>
      <c r="J1077" t="str">
        <f t="shared" si="101"/>
        <v>https://www.euro-millions.com/results/12-01-2018</v>
      </c>
      <c r="K1077" t="str">
        <f t="shared" si="102"/>
        <v>http://lottery.merseyworld.com/Euro/archive/Lott1076.html</v>
      </c>
    </row>
    <row r="1078" spans="1:11" x14ac:dyDescent="0.25">
      <c r="A1078">
        <v>1077</v>
      </c>
      <c r="B1078" s="2" t="str">
        <f t="shared" si="97"/>
        <v>16-01-2018</v>
      </c>
      <c r="C1078" t="s">
        <v>16</v>
      </c>
      <c r="D1078">
        <v>16</v>
      </c>
      <c r="E1078" t="str">
        <f t="shared" si="98"/>
        <v>16</v>
      </c>
      <c r="F1078">
        <v>1</v>
      </c>
      <c r="G1078" t="str">
        <f t="shared" si="99"/>
        <v>01</v>
      </c>
      <c r="H1078">
        <v>2018</v>
      </c>
      <c r="I1078" t="str">
        <f t="shared" si="100"/>
        <v>201801</v>
      </c>
      <c r="J1078" t="str">
        <f t="shared" si="101"/>
        <v>https://www.euro-millions.com/results/16-01-2018</v>
      </c>
      <c r="K1078" t="str">
        <f t="shared" si="102"/>
        <v>http://lottery.merseyworld.com/Euro/archive/Lott1077.html</v>
      </c>
    </row>
    <row r="1079" spans="1:11" x14ac:dyDescent="0.25">
      <c r="A1079">
        <v>1078</v>
      </c>
      <c r="B1079" s="2" t="str">
        <f t="shared" si="97"/>
        <v>19-01-2018</v>
      </c>
      <c r="C1079" t="s">
        <v>10</v>
      </c>
      <c r="D1079">
        <v>19</v>
      </c>
      <c r="E1079" t="str">
        <f t="shared" si="98"/>
        <v>19</v>
      </c>
      <c r="F1079">
        <v>1</v>
      </c>
      <c r="G1079" t="str">
        <f t="shared" si="99"/>
        <v>01</v>
      </c>
      <c r="H1079">
        <v>2018</v>
      </c>
      <c r="I1079" t="str">
        <f t="shared" si="100"/>
        <v>201801</v>
      </c>
      <c r="J1079" t="str">
        <f t="shared" si="101"/>
        <v>https://www.euro-millions.com/results/19-01-2018</v>
      </c>
      <c r="K1079" t="str">
        <f t="shared" si="102"/>
        <v>http://lottery.merseyworld.com/Euro/archive/Lott1078.html</v>
      </c>
    </row>
    <row r="1080" spans="1:11" x14ac:dyDescent="0.25">
      <c r="A1080">
        <v>1079</v>
      </c>
      <c r="B1080" s="2" t="str">
        <f t="shared" si="97"/>
        <v>23-01-2018</v>
      </c>
      <c r="C1080" t="s">
        <v>16</v>
      </c>
      <c r="D1080">
        <v>23</v>
      </c>
      <c r="E1080" t="str">
        <f t="shared" si="98"/>
        <v>23</v>
      </c>
      <c r="F1080">
        <v>1</v>
      </c>
      <c r="G1080" t="str">
        <f t="shared" si="99"/>
        <v>01</v>
      </c>
      <c r="H1080">
        <v>2018</v>
      </c>
      <c r="I1080" t="str">
        <f t="shared" si="100"/>
        <v>201801</v>
      </c>
      <c r="J1080" t="str">
        <f t="shared" si="101"/>
        <v>https://www.euro-millions.com/results/23-01-2018</v>
      </c>
      <c r="K1080" t="str">
        <f t="shared" si="102"/>
        <v>http://lottery.merseyworld.com/Euro/archive/Lott1079.html</v>
      </c>
    </row>
    <row r="1081" spans="1:11" x14ac:dyDescent="0.25">
      <c r="A1081">
        <v>1080</v>
      </c>
      <c r="B1081" s="2" t="str">
        <f t="shared" si="97"/>
        <v>26-01-2018</v>
      </c>
      <c r="C1081" t="s">
        <v>10</v>
      </c>
      <c r="D1081">
        <v>26</v>
      </c>
      <c r="E1081" t="str">
        <f t="shared" si="98"/>
        <v>26</v>
      </c>
      <c r="F1081">
        <v>1</v>
      </c>
      <c r="G1081" t="str">
        <f t="shared" si="99"/>
        <v>01</v>
      </c>
      <c r="H1081">
        <v>2018</v>
      </c>
      <c r="I1081" t="str">
        <f t="shared" si="100"/>
        <v>201801</v>
      </c>
      <c r="J1081" t="str">
        <f t="shared" si="101"/>
        <v>https://www.euro-millions.com/results/26-01-2018</v>
      </c>
      <c r="K1081" t="str">
        <f t="shared" si="102"/>
        <v>http://lottery.merseyworld.com/Euro/archive/Lott1080.html</v>
      </c>
    </row>
    <row r="1082" spans="1:11" x14ac:dyDescent="0.25">
      <c r="A1082">
        <v>1081</v>
      </c>
      <c r="B1082" s="2" t="str">
        <f t="shared" si="97"/>
        <v>30-01-2018</v>
      </c>
      <c r="C1082" t="s">
        <v>16</v>
      </c>
      <c r="D1082">
        <v>30</v>
      </c>
      <c r="E1082" t="str">
        <f t="shared" si="98"/>
        <v>30</v>
      </c>
      <c r="F1082">
        <v>1</v>
      </c>
      <c r="G1082" t="str">
        <f t="shared" si="99"/>
        <v>01</v>
      </c>
      <c r="H1082">
        <v>2018</v>
      </c>
      <c r="I1082" t="str">
        <f t="shared" si="100"/>
        <v>201801</v>
      </c>
      <c r="J1082" t="str">
        <f t="shared" si="101"/>
        <v>https://www.euro-millions.com/results/30-01-2018</v>
      </c>
      <c r="K1082" t="str">
        <f t="shared" si="102"/>
        <v>http://lottery.merseyworld.com/Euro/archive/Lott1081.html</v>
      </c>
    </row>
    <row r="1083" spans="1:11" x14ac:dyDescent="0.25">
      <c r="A1083">
        <v>1082</v>
      </c>
      <c r="B1083" s="2" t="str">
        <f t="shared" si="97"/>
        <v>02-02-2018</v>
      </c>
      <c r="C1083" t="s">
        <v>10</v>
      </c>
      <c r="D1083">
        <v>2</v>
      </c>
      <c r="E1083" t="str">
        <f t="shared" si="98"/>
        <v>02</v>
      </c>
      <c r="F1083">
        <v>2</v>
      </c>
      <c r="G1083" t="str">
        <f t="shared" si="99"/>
        <v>02</v>
      </c>
      <c r="H1083">
        <v>2018</v>
      </c>
      <c r="I1083" t="str">
        <f t="shared" si="100"/>
        <v>201802</v>
      </c>
      <c r="J1083" t="str">
        <f t="shared" si="101"/>
        <v>https://www.euro-millions.com/results/02-02-2018</v>
      </c>
      <c r="K1083" t="str">
        <f t="shared" si="102"/>
        <v>http://lottery.merseyworld.com/Euro/archive/Lott1082.html</v>
      </c>
    </row>
    <row r="1084" spans="1:11" x14ac:dyDescent="0.25">
      <c r="A1084">
        <v>1083</v>
      </c>
      <c r="B1084" s="2" t="str">
        <f t="shared" si="97"/>
        <v>06-02-2018</v>
      </c>
      <c r="C1084" t="s">
        <v>16</v>
      </c>
      <c r="D1084">
        <v>6</v>
      </c>
      <c r="E1084" t="str">
        <f t="shared" si="98"/>
        <v>06</v>
      </c>
      <c r="F1084">
        <v>2</v>
      </c>
      <c r="G1084" t="str">
        <f t="shared" si="99"/>
        <v>02</v>
      </c>
      <c r="H1084">
        <v>2018</v>
      </c>
      <c r="I1084" t="str">
        <f t="shared" si="100"/>
        <v>201802</v>
      </c>
      <c r="J1084" t="str">
        <f t="shared" si="101"/>
        <v>https://www.euro-millions.com/results/06-02-2018</v>
      </c>
      <c r="K1084" t="str">
        <f t="shared" si="102"/>
        <v>http://lottery.merseyworld.com/Euro/archive/Lott1083.html</v>
      </c>
    </row>
    <row r="1085" spans="1:11" x14ac:dyDescent="0.25">
      <c r="A1085">
        <v>1084</v>
      </c>
      <c r="B1085" s="2" t="str">
        <f t="shared" si="97"/>
        <v>09-02-2018</v>
      </c>
      <c r="C1085" t="s">
        <v>10</v>
      </c>
      <c r="D1085">
        <v>9</v>
      </c>
      <c r="E1085" t="str">
        <f t="shared" si="98"/>
        <v>09</v>
      </c>
      <c r="F1085">
        <v>2</v>
      </c>
      <c r="G1085" t="str">
        <f t="shared" si="99"/>
        <v>02</v>
      </c>
      <c r="H1085">
        <v>2018</v>
      </c>
      <c r="I1085" t="str">
        <f t="shared" si="100"/>
        <v>201802</v>
      </c>
      <c r="J1085" t="str">
        <f t="shared" si="101"/>
        <v>https://www.euro-millions.com/results/09-02-2018</v>
      </c>
      <c r="K1085" t="str">
        <f t="shared" si="102"/>
        <v>http://lottery.merseyworld.com/Euro/archive/Lott1084.html</v>
      </c>
    </row>
    <row r="1086" spans="1:11" x14ac:dyDescent="0.25">
      <c r="A1086">
        <v>1085</v>
      </c>
      <c r="B1086" s="2" t="str">
        <f t="shared" si="97"/>
        <v>13-02-2018</v>
      </c>
      <c r="C1086" t="s">
        <v>16</v>
      </c>
      <c r="D1086">
        <v>13</v>
      </c>
      <c r="E1086" t="str">
        <f t="shared" si="98"/>
        <v>13</v>
      </c>
      <c r="F1086">
        <v>2</v>
      </c>
      <c r="G1086" t="str">
        <f t="shared" si="99"/>
        <v>02</v>
      </c>
      <c r="H1086">
        <v>2018</v>
      </c>
      <c r="I1086" t="str">
        <f t="shared" si="100"/>
        <v>201802</v>
      </c>
      <c r="J1086" t="str">
        <f t="shared" si="101"/>
        <v>https://www.euro-millions.com/results/13-02-2018</v>
      </c>
      <c r="K1086" t="str">
        <f t="shared" si="102"/>
        <v>http://lottery.merseyworld.com/Euro/archive/Lott1085.html</v>
      </c>
    </row>
    <row r="1087" spans="1:11" x14ac:dyDescent="0.25">
      <c r="A1087">
        <v>1086</v>
      </c>
      <c r="B1087" s="2" t="str">
        <f t="shared" si="97"/>
        <v>16-02-2018</v>
      </c>
      <c r="C1087" t="s">
        <v>10</v>
      </c>
      <c r="D1087">
        <v>16</v>
      </c>
      <c r="E1087" t="str">
        <f t="shared" si="98"/>
        <v>16</v>
      </c>
      <c r="F1087">
        <v>2</v>
      </c>
      <c r="G1087" t="str">
        <f t="shared" si="99"/>
        <v>02</v>
      </c>
      <c r="H1087">
        <v>2018</v>
      </c>
      <c r="I1087" t="str">
        <f t="shared" si="100"/>
        <v>201802</v>
      </c>
      <c r="J1087" t="str">
        <f t="shared" si="101"/>
        <v>https://www.euro-millions.com/results/16-02-2018</v>
      </c>
      <c r="K1087" t="str">
        <f t="shared" si="102"/>
        <v>http://lottery.merseyworld.com/Euro/archive/Lott1086.html</v>
      </c>
    </row>
    <row r="1088" spans="1:11" x14ac:dyDescent="0.25">
      <c r="A1088">
        <v>1087</v>
      </c>
      <c r="B1088" s="2" t="str">
        <f t="shared" si="97"/>
        <v>20-02-2018</v>
      </c>
      <c r="C1088" t="s">
        <v>16</v>
      </c>
      <c r="D1088">
        <v>20</v>
      </c>
      <c r="E1088" t="str">
        <f t="shared" si="98"/>
        <v>20</v>
      </c>
      <c r="F1088">
        <v>2</v>
      </c>
      <c r="G1088" t="str">
        <f t="shared" si="99"/>
        <v>02</v>
      </c>
      <c r="H1088">
        <v>2018</v>
      </c>
      <c r="I1088" t="str">
        <f t="shared" si="100"/>
        <v>201802</v>
      </c>
      <c r="J1088" t="str">
        <f t="shared" si="101"/>
        <v>https://www.euro-millions.com/results/20-02-2018</v>
      </c>
      <c r="K1088" t="str">
        <f t="shared" si="102"/>
        <v>http://lottery.merseyworld.com/Euro/archive/Lott1087.html</v>
      </c>
    </row>
    <row r="1089" spans="1:11" x14ac:dyDescent="0.25">
      <c r="A1089">
        <v>1088</v>
      </c>
      <c r="B1089" s="2" t="str">
        <f t="shared" si="97"/>
        <v>23-02-2018</v>
      </c>
      <c r="C1089" t="s">
        <v>10</v>
      </c>
      <c r="D1089">
        <v>23</v>
      </c>
      <c r="E1089" t="str">
        <f t="shared" si="98"/>
        <v>23</v>
      </c>
      <c r="F1089">
        <v>2</v>
      </c>
      <c r="G1089" t="str">
        <f t="shared" si="99"/>
        <v>02</v>
      </c>
      <c r="H1089">
        <v>2018</v>
      </c>
      <c r="I1089" t="str">
        <f t="shared" si="100"/>
        <v>201802</v>
      </c>
      <c r="J1089" t="str">
        <f t="shared" si="101"/>
        <v>https://www.euro-millions.com/results/23-02-2018</v>
      </c>
      <c r="K1089" t="str">
        <f t="shared" si="102"/>
        <v>http://lottery.merseyworld.com/Euro/archive/Lott1088.html</v>
      </c>
    </row>
    <row r="1090" spans="1:11" x14ac:dyDescent="0.25">
      <c r="A1090">
        <v>1089</v>
      </c>
      <c r="B1090" s="2" t="str">
        <f t="shared" si="97"/>
        <v>27-02-2018</v>
      </c>
      <c r="C1090" t="s">
        <v>16</v>
      </c>
      <c r="D1090">
        <v>27</v>
      </c>
      <c r="E1090" t="str">
        <f t="shared" si="98"/>
        <v>27</v>
      </c>
      <c r="F1090">
        <v>2</v>
      </c>
      <c r="G1090" t="str">
        <f t="shared" si="99"/>
        <v>02</v>
      </c>
      <c r="H1090">
        <v>2018</v>
      </c>
      <c r="I1090" t="str">
        <f t="shared" si="100"/>
        <v>201802</v>
      </c>
      <c r="J1090" t="str">
        <f t="shared" si="101"/>
        <v>https://www.euro-millions.com/results/27-02-2018</v>
      </c>
      <c r="K1090" t="str">
        <f t="shared" si="102"/>
        <v>http://lottery.merseyworld.com/Euro/archive/Lott1089.html</v>
      </c>
    </row>
    <row r="1091" spans="1:11" x14ac:dyDescent="0.25">
      <c r="A1091">
        <v>1090</v>
      </c>
      <c r="B1091" s="2" t="str">
        <f t="shared" ref="B1091:B1099" si="103">CONCATENATE(E1091,"-",G1091,"-",H1091)</f>
        <v>02-03-2018</v>
      </c>
      <c r="C1091" t="s">
        <v>10</v>
      </c>
      <c r="D1091">
        <v>2</v>
      </c>
      <c r="E1091" t="str">
        <f t="shared" ref="E1091:E1099" si="104">CONCATENATE(IF(LEN(D1091)=1,CONCATENATE("0",D1091),D1091))</f>
        <v>02</v>
      </c>
      <c r="F1091">
        <v>3</v>
      </c>
      <c r="G1091" t="str">
        <f t="shared" ref="G1091:G1099" si="105">CONCATENATE(IF(LEN(F1091)=1,CONCATENATE("0",F1091),F1091))</f>
        <v>03</v>
      </c>
      <c r="H1091">
        <v>2018</v>
      </c>
      <c r="I1091" t="str">
        <f t="shared" ref="I1091:I1099" si="106">CONCATENATE(H1091,IF(LEN(F1091)=1,CONCATENATE("0",F1091),F1091))</f>
        <v>201803</v>
      </c>
      <c r="J1091" t="str">
        <f t="shared" si="101"/>
        <v>https://www.euro-millions.com/results/02-03-2018</v>
      </c>
      <c r="K1091" t="str">
        <f t="shared" si="102"/>
        <v>http://lottery.merseyworld.com/Euro/archive/Lott1090.html</v>
      </c>
    </row>
    <row r="1092" spans="1:11" x14ac:dyDescent="0.25">
      <c r="A1092">
        <v>1091</v>
      </c>
      <c r="B1092" s="2" t="str">
        <f t="shared" si="103"/>
        <v>06-03-2018</v>
      </c>
      <c r="C1092" t="s">
        <v>16</v>
      </c>
      <c r="D1092">
        <v>6</v>
      </c>
      <c r="E1092" t="str">
        <f t="shared" si="104"/>
        <v>06</v>
      </c>
      <c r="F1092">
        <v>3</v>
      </c>
      <c r="G1092" t="str">
        <f t="shared" si="105"/>
        <v>03</v>
      </c>
      <c r="H1092">
        <v>2018</v>
      </c>
      <c r="I1092" t="str">
        <f t="shared" si="106"/>
        <v>201803</v>
      </c>
      <c r="J1092" t="str">
        <f t="shared" si="101"/>
        <v>https://www.euro-millions.com/results/06-03-2018</v>
      </c>
      <c r="K1092" t="str">
        <f t="shared" si="102"/>
        <v>http://lottery.merseyworld.com/Euro/archive/Lott1091.html</v>
      </c>
    </row>
    <row r="1093" spans="1:11" x14ac:dyDescent="0.25">
      <c r="A1093">
        <v>1092</v>
      </c>
      <c r="B1093" s="2" t="str">
        <f t="shared" si="103"/>
        <v>09-03-2018</v>
      </c>
      <c r="C1093" t="s">
        <v>10</v>
      </c>
      <c r="D1093">
        <v>9</v>
      </c>
      <c r="E1093" t="str">
        <f t="shared" si="104"/>
        <v>09</v>
      </c>
      <c r="F1093">
        <v>3</v>
      </c>
      <c r="G1093" t="str">
        <f t="shared" si="105"/>
        <v>03</v>
      </c>
      <c r="H1093">
        <v>2018</v>
      </c>
      <c r="I1093" t="str">
        <f t="shared" si="106"/>
        <v>201803</v>
      </c>
      <c r="J1093" t="str">
        <f t="shared" si="101"/>
        <v>https://www.euro-millions.com/results/09-03-2018</v>
      </c>
      <c r="K1093" t="str">
        <f t="shared" si="102"/>
        <v>http://lottery.merseyworld.com/Euro/archive/Lott1092.html</v>
      </c>
    </row>
    <row r="1094" spans="1:11" x14ac:dyDescent="0.25">
      <c r="A1094">
        <v>1093</v>
      </c>
      <c r="B1094" s="2" t="str">
        <f t="shared" si="103"/>
        <v>13-03-2018</v>
      </c>
      <c r="C1094" t="s">
        <v>16</v>
      </c>
      <c r="D1094">
        <v>13</v>
      </c>
      <c r="E1094" t="str">
        <f t="shared" si="104"/>
        <v>13</v>
      </c>
      <c r="F1094">
        <v>3</v>
      </c>
      <c r="G1094" t="str">
        <f t="shared" si="105"/>
        <v>03</v>
      </c>
      <c r="H1094">
        <v>2018</v>
      </c>
      <c r="I1094" t="str">
        <f t="shared" si="106"/>
        <v>201803</v>
      </c>
      <c r="J1094" t="str">
        <f t="shared" si="101"/>
        <v>https://www.euro-millions.com/results/13-03-2018</v>
      </c>
      <c r="K1094" t="str">
        <f t="shared" si="102"/>
        <v>http://lottery.merseyworld.com/Euro/archive/Lott1093.html</v>
      </c>
    </row>
    <row r="1095" spans="1:11" x14ac:dyDescent="0.25">
      <c r="A1095">
        <v>1094</v>
      </c>
      <c r="B1095" s="2" t="str">
        <f t="shared" si="103"/>
        <v>16-03-2018</v>
      </c>
      <c r="C1095" t="s">
        <v>10</v>
      </c>
      <c r="D1095">
        <v>16</v>
      </c>
      <c r="E1095" t="str">
        <f t="shared" si="104"/>
        <v>16</v>
      </c>
      <c r="F1095">
        <v>3</v>
      </c>
      <c r="G1095" t="str">
        <f t="shared" si="105"/>
        <v>03</v>
      </c>
      <c r="H1095">
        <v>2018</v>
      </c>
      <c r="I1095" t="str">
        <f t="shared" si="106"/>
        <v>201803</v>
      </c>
      <c r="J1095" t="str">
        <f t="shared" si="101"/>
        <v>https://www.euro-millions.com/results/16-03-2018</v>
      </c>
      <c r="K1095" t="str">
        <f t="shared" si="102"/>
        <v>http://lottery.merseyworld.com/Euro/archive/Lott1094.html</v>
      </c>
    </row>
    <row r="1096" spans="1:11" x14ac:dyDescent="0.25">
      <c r="A1096">
        <v>1095</v>
      </c>
      <c r="B1096" s="2" t="str">
        <f t="shared" si="103"/>
        <v>20-03-2018</v>
      </c>
      <c r="C1096" t="s">
        <v>16</v>
      </c>
      <c r="D1096">
        <v>20</v>
      </c>
      <c r="E1096" t="str">
        <f t="shared" si="104"/>
        <v>20</v>
      </c>
      <c r="F1096">
        <v>3</v>
      </c>
      <c r="G1096" t="str">
        <f t="shared" si="105"/>
        <v>03</v>
      </c>
      <c r="H1096">
        <v>2018</v>
      </c>
      <c r="I1096" t="str">
        <f t="shared" si="106"/>
        <v>201803</v>
      </c>
      <c r="J1096" t="str">
        <f t="shared" ref="J1096:J1099" si="107">CONCATENATE("https://www.euro-millions.com/results/",E1096,"-",G1096,"-",H1096)</f>
        <v>https://www.euro-millions.com/results/20-03-2018</v>
      </c>
      <c r="K1096" t="str">
        <f t="shared" si="102"/>
        <v>http://lottery.merseyworld.com/Euro/archive/Lott1095.html</v>
      </c>
    </row>
    <row r="1097" spans="1:11" x14ac:dyDescent="0.25">
      <c r="A1097">
        <v>1096</v>
      </c>
      <c r="B1097" s="2" t="str">
        <f t="shared" si="103"/>
        <v>23-03-2018</v>
      </c>
      <c r="C1097" t="s">
        <v>10</v>
      </c>
      <c r="D1097">
        <v>23</v>
      </c>
      <c r="E1097" t="str">
        <f t="shared" si="104"/>
        <v>23</v>
      </c>
      <c r="F1097">
        <v>3</v>
      </c>
      <c r="G1097" t="str">
        <f t="shared" si="105"/>
        <v>03</v>
      </c>
      <c r="H1097">
        <v>2018</v>
      </c>
      <c r="I1097" t="str">
        <f t="shared" si="106"/>
        <v>201803</v>
      </c>
      <c r="J1097" t="str">
        <f t="shared" si="107"/>
        <v>https://www.euro-millions.com/results/23-03-2018</v>
      </c>
      <c r="K1097" t="str">
        <f t="shared" si="102"/>
        <v>http://lottery.merseyworld.com/Euro/archive/Lott1096.html</v>
      </c>
    </row>
    <row r="1098" spans="1:11" x14ac:dyDescent="0.25">
      <c r="A1098">
        <v>1097</v>
      </c>
      <c r="B1098" s="2" t="str">
        <f t="shared" si="103"/>
        <v>27-03-2018</v>
      </c>
      <c r="C1098" t="s">
        <v>16</v>
      </c>
      <c r="D1098">
        <v>27</v>
      </c>
      <c r="E1098" t="str">
        <f t="shared" si="104"/>
        <v>27</v>
      </c>
      <c r="F1098">
        <v>3</v>
      </c>
      <c r="G1098" t="str">
        <f t="shared" si="105"/>
        <v>03</v>
      </c>
      <c r="H1098">
        <v>2018</v>
      </c>
      <c r="I1098" t="str">
        <f t="shared" si="106"/>
        <v>201803</v>
      </c>
      <c r="J1098" t="str">
        <f t="shared" si="107"/>
        <v>https://www.euro-millions.com/results/27-03-2018</v>
      </c>
      <c r="K1098" t="str">
        <f t="shared" si="102"/>
        <v>http://lottery.merseyworld.com/Euro/archive/Lott1097.html</v>
      </c>
    </row>
    <row r="1099" spans="1:11" x14ac:dyDescent="0.25">
      <c r="A1099">
        <v>1098</v>
      </c>
      <c r="B1099" s="2" t="str">
        <f t="shared" si="103"/>
        <v>30-03-2018</v>
      </c>
      <c r="C1099" t="s">
        <v>10</v>
      </c>
      <c r="D1099">
        <v>30</v>
      </c>
      <c r="E1099" t="str">
        <f t="shared" si="104"/>
        <v>30</v>
      </c>
      <c r="F1099">
        <v>3</v>
      </c>
      <c r="G1099" t="str">
        <f t="shared" si="105"/>
        <v>03</v>
      </c>
      <c r="H1099">
        <v>2018</v>
      </c>
      <c r="I1099" t="str">
        <f t="shared" si="106"/>
        <v>201803</v>
      </c>
      <c r="J1099" t="str">
        <f t="shared" si="107"/>
        <v>https://www.euro-millions.com/results/30-03-2018</v>
      </c>
      <c r="K1099" t="str">
        <f t="shared" si="102"/>
        <v>http://lottery.merseyworld.com/Euro/archive/Lott1098.html</v>
      </c>
    </row>
  </sheetData>
  <hyperlinks>
    <hyperlink ref="J6" r:id="rId1"/>
    <hyperlink ref="J2" r:id="rId2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draws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2018-04-02T17:09:59Z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27b1e2bc-a8be-4ba7-a880-59945eeac0cd</vt:lpwstr>
  </property>
</Properties>
</file>